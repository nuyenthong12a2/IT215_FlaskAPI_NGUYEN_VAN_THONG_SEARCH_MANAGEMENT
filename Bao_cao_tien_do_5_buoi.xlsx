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35972B61-593E-43CF-A3B8-2623CE7B7B44}" xr6:coauthVersionLast="47" xr6:coauthVersionMax="47" xr10:uidLastSave="{00000000-0000-0000-0000-000000000000}"/>
  <bookViews>
    <workbookView xWindow="-108" yWindow="-108" windowWidth="23256" windowHeight="12456" tabRatio="500" activeTab="1" xr2:uid="{00000000-000D-0000-FFFF-FFFF00000000}"/>
  </bookViews>
  <sheets>
    <sheet name="Tổng quan" sheetId="1" r:id="rId1"/>
    <sheet name="Bảng công việc chi tiết" sheetId="2" r:id="rId2"/>
    <sheet name="Luồng nghiệp vụ &amp; Giải trình" sheetId="3" r:id="rId3"/>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G47" i="2" l="1"/>
  <c r="G46" i="2"/>
</calcChain>
</file>

<file path=xl/sharedStrings.xml><?xml version="1.0" encoding="utf-8"?>
<sst xmlns="http://schemas.openxmlformats.org/spreadsheetml/2006/main" count="490" uniqueCount="296">
  <si>
    <t>BÁO CÁO TIẾN ĐỘ ĐỒ ÁN — RESEARCH GROUP MANAGEMENT API</t>
  </si>
  <si>
    <t>FastAPI + MySQL + JWT Authentication — Đồ án môn học 5 buổi</t>
  </si>
  <si>
    <t>Tên đề tài:</t>
  </si>
  <si>
    <t>Research Group Management API</t>
  </si>
  <si>
    <t>Sinh viên thực hiện:</t>
  </si>
  <si>
    <t>Mã lớp / Môn học:</t>
  </si>
  <si>
    <t>IT215 - FastAPI</t>
  </si>
  <si>
    <t>Công nghệ sử dụng:</t>
  </si>
  <si>
    <t>FastAPI, SQLAlchemy, MySQL, Pydantic v2, JWT (python-jose), Bcrypt (passlib)</t>
  </si>
  <si>
    <t>Thời gian thực hiện:</t>
  </si>
  <si>
    <t>5 buổi</t>
  </si>
  <si>
    <t>Ngày báo cáo:</t>
  </si>
  <si>
    <t>TÓM TẮT TIẾN ĐỘ THEO TỪNG BUỔI</t>
  </si>
  <si>
    <t>Buổi</t>
  </si>
  <si>
    <t>Nội dung chính</t>
  </si>
  <si>
    <t>Trạng thái</t>
  </si>
  <si>
    <t>Ghi chú</t>
  </si>
  <si>
    <t>Buổi 1</t>
  </si>
  <si>
    <t>Khởi tạo dự án, cấu trúc thư mục, kết nối MySQL, thiết kế model &amp; schema</t>
  </si>
  <si>
    <t>Hoàn thành</t>
  </si>
  <si>
    <t>Đã test khởi động server, tạo bảng tự động thành công</t>
  </si>
  <si>
    <t>Buổi 2</t>
  </si>
  <si>
    <t>Xác thực JWT: đăng ký, đăng nhập, phân quyền USER/ADMIN</t>
  </si>
  <si>
    <t>Đã test đầy đủ case đúng/lỗi qua Swagger</t>
  </si>
  <si>
    <t>Buổi 3</t>
  </si>
  <si>
    <t>Quản lý đề tài nghiên cứu &amp; thành viên (quan hệ N-N, phân quyền OWNER/MEMBER)</t>
  </si>
  <si>
    <t>Đã test 17 test case bao gồm ràng buộc nghiệp vụ</t>
  </si>
  <si>
    <t>Buổi 4</t>
  </si>
  <si>
    <t>Quản lý nhiệm vụ nghiên cứu: CRUD, giao việc, filter, phân trang, sắp xếp</t>
  </si>
  <si>
    <t>Đã bổ sung sort_by/order nâng cao hơn yêu cầu gốc</t>
  </si>
  <si>
    <t>Buổi 5</t>
  </si>
  <si>
    <t>Hoàn thiện Swagger, kiểm thử tổng thể, tối ưu exception handling</t>
  </si>
  <si>
    <t>Đang hoàn thiện</t>
  </si>
  <si>
    <t>Đã tách exception handler riêng, thêm siết chặt validate</t>
  </si>
  <si>
    <t>Nâng cao</t>
  </si>
  <si>
    <t>Upload tài liệu đính kèm (Research Documents)</t>
  </si>
  <si>
    <t>Hoàn thành (bonus)</t>
  </si>
  <si>
    <t>Có validate định dạng/dung lượng file, cascade delete</t>
  </si>
  <si>
    <t>Danh sách task</t>
  </si>
  <si>
    <t>Chức năng</t>
  </si>
  <si>
    <t>Chức năng chi tiết</t>
  </si>
  <si>
    <t>Mức độ</t>
  </si>
  <si>
    <t>Điểm tối đa</t>
  </si>
  <si>
    <t>Khởi tạo dự án</t>
  </si>
  <si>
    <t>Cấu trúc source</t>
  </si>
  <si>
    <t>Khởi tạo FastAPI project theo cấu trúc module: routers, models, schemas, services, dependencies, core, db.</t>
  </si>
  <si>
    <t>Bắt buộc</t>
  </si>
  <si>
    <t>Đúng cấu trúc, đã kiểm tra qua Swagger</t>
  </si>
  <si>
    <t>Cấu hình môi trường</t>
  </si>
  <si>
    <t>Tạo .env/.env.example; cấu hình DATABASE_URL, SECRET_KEY, JWT settings và đọc config từ môi trường.</t>
  </si>
  <si>
    <t>Dùng pydantic-settings</t>
  </si>
  <si>
    <t>Database</t>
  </si>
  <si>
    <t>Kết nối DB</t>
  </si>
  <si>
    <t>Kết nối MySQL bằng SQLAlchemy; xây dựng engine, SessionLocal và dependency get_db.</t>
  </si>
  <si>
    <t>Có pool_pre_ping, tự rollback khi lỗi</t>
  </si>
  <si>
    <t>Thiết kế model</t>
  </si>
  <si>
    <t>Tạo model User, ResearchProject, ResearchMember, ResearchTask; khóa chính, khóa ngoại, timestamps và quan hệ phù hợp.</t>
  </si>
  <si>
    <t>Có relationship() đầy đủ 2 chiều</t>
  </si>
  <si>
    <t>Pydantic schema</t>
  </si>
  <si>
    <t>Tạo Base/Create/Update/Response schema cho các entity chính; bật ORM/from_attributes khi cần.</t>
  </si>
  <si>
    <t>Khởi tạo bảng</t>
  </si>
  <si>
    <t>Tạo bảng/migration ban đầu và kiểm tra DB khởi tạo thành công.</t>
  </si>
  <si>
    <t>Base.metadata.create_all()</t>
  </si>
  <si>
    <t>Core</t>
  </si>
  <si>
    <t>Exception &amp; response</t>
  </si>
  <si>
    <t>Thiết lập exception cơ bản (404/400/403), format lỗi thống nhất và healthcheck endpoint.</t>
  </si>
  <si>
    <t>Tách riêng core/exception_handlers.py, có IntegrityError/SQLAlchemyError riêng</t>
  </si>
  <si>
    <t>Seed dữ liệu</t>
  </si>
  <si>
    <t>Viết script seed user/đề tài nghiên cứu/nhiệm vụ nghiên cứu mẫu phục vụ test và demo.</t>
  </si>
  <si>
    <t>Không bắt buộc</t>
  </si>
  <si>
    <t>seed.py</t>
  </si>
  <si>
    <t>Authentication</t>
  </si>
  <si>
    <t>Register</t>
  </si>
  <si>
    <t>POST /auth/register: tạo tài khoản, kiểm tra email trùng, validate dữ liệu đầu vào.</t>
  </si>
  <si>
    <t>Password</t>
  </si>
  <si>
    <t>Hash mật khẩu bằng bcrypt/passlib; tuyệt đối không lưu mật khẩu dạng plain text.</t>
  </si>
  <si>
    <t>Login</t>
  </si>
  <si>
    <t>POST /auth/login: xác thực email/password và trả access token JWT hợp lệ.</t>
  </si>
  <si>
    <t>Chuẩn OAuth2PasswordRequestForm</t>
  </si>
  <si>
    <t>Current user</t>
  </si>
  <si>
    <t>Xây dựng OAuth2PasswordBearer + dependency get_current_user để đọc user từ JWT.</t>
  </si>
  <si>
    <t>Authorization</t>
  </si>
  <si>
    <t>Role guard</t>
  </si>
  <si>
    <t>Phân quyền cơ bản USER/ADMIN hoặc dependency kiểm tra role cho endpoint quản trị.</t>
  </si>
  <si>
    <t>require_admin</t>
  </si>
  <si>
    <t>User</t>
  </si>
  <si>
    <t>Profile</t>
  </si>
  <si>
    <t>GET /users/me: trả thông tin người dùng hiện tại, không lộ password_hash.</t>
  </si>
  <si>
    <t>Danh sách user</t>
  </si>
  <si>
    <t>GET /users: chỉ Admin; có search theo tên/email và trạng thái.</t>
  </si>
  <si>
    <t>Validation</t>
  </si>
  <si>
    <t>Lỗi nghiệp vụ</t>
  </si>
  <si>
    <t>Xử lý lỗi token hết hạn/sai, đăng nhập sai, tài khoản không hoạt động bằng HTTP status phù hợp.</t>
  </si>
  <si>
    <t>401 vs 403 phân biệt rõ</t>
  </si>
  <si>
    <t>Refresh token</t>
  </si>
  <si>
    <t>Bổ sung refresh token và endpoint cấp lại access token.</t>
  </si>
  <si>
    <t>Chưa làm</t>
  </si>
  <si>
    <t>Đã hiểu ý tưởng, chưa triển khai code</t>
  </si>
  <si>
    <t>Rate limit</t>
  </si>
  <si>
    <t>Giới hạn tần suất gọi login hoặc cơ chế chống brute-force ở mức demo.</t>
  </si>
  <si>
    <t>Đề tài nghiên cứu</t>
  </si>
  <si>
    <t>Tạo đề tài nghiên cứu</t>
  </si>
  <si>
    <t>POST /research-projects: user đăng nhập tạo đề tài nghiên cứu và tự động trở thành OWNER.</t>
  </si>
  <si>
    <t>Danh sách đề tài nghiên cứu</t>
  </si>
  <si>
    <t>GET /research-projects: chỉ trả đề tài nghiên cứu mà user là owner/member; hỗ trợ search tên đề tài nghiên cứu.</t>
  </si>
  <si>
    <t>Chi tiết đề tài nghiên cứu</t>
  </si>
  <si>
    <t>GET /research-projects/{id}: chỉ thành viên đề tài nghiên cứu mới được xem.</t>
  </si>
  <si>
    <t>Cập nhật/xóa</t>
  </si>
  <si>
    <t>PUT/PATCH/DELETE đề tài nghiên cứu; chỉ OWNER được sửa/xóa.</t>
  </si>
  <si>
    <t>Đề tài nghiên cứu member</t>
  </si>
  <si>
    <t>Thêm thành viên</t>
  </si>
  <si>
    <t>POST /research-projects/{id}/members: owner thêm user vào đề tài nghiên cứu; không cho thêm trùng.</t>
  </si>
  <si>
    <t>Xóa thành viên</t>
  </si>
  <si>
    <t>DELETE /research-projects/{id}/members/{user_id}: owner xóa member; không được xóa owner cuối cùng.</t>
  </si>
  <si>
    <t>Danh sách thành viên</t>
  </si>
  <si>
    <t>GET /research-projects/{id}/members: trả danh sách member và role trong đề tài nghiên cứu.</t>
  </si>
  <si>
    <t>Dữ liệu đề tài nghiên cứu</t>
  </si>
  <si>
    <t>Tên đề tài nghiên cứu không trống, không vượt giới hạn; xử lý đề tài nghiên cứu/user không tồn tại.</t>
  </si>
  <si>
    <t>Field min/max_length, gt=0 cho ID</t>
  </si>
  <si>
    <t>Activity log</t>
  </si>
  <si>
    <t>Lưu lịch sử thao tác quan trọng: tạo/sửa đề tài nghiên cứu, thêm/xóa member.</t>
  </si>
  <si>
    <t>Soft delete</t>
  </si>
  <si>
    <t>Đề tài nghiên cứu có deleted_at/is_deleted và không mất dữ liệu khi xóa.</t>
  </si>
  <si>
    <t>Nhiệm vụ nghiên cứu</t>
  </si>
  <si>
    <t>Tạo nhiệm vụ nghiên cứu</t>
  </si>
  <si>
    <t>POST /research-projects/{id}/research-tasks: thành viên có quyền tạo nhiệm vụ nghiên cứu với title, description, due_date, priority.</t>
  </si>
  <si>
    <t>Danh sách nhiệm vụ nghiên cứu</t>
  </si>
  <si>
    <t>GET /research-projects/{id}/research-tasks: trả nhiệm vụ nghiên cứu thuộc đề tài nghiên cứu, không lộ nhiệm vụ đề tài khác.</t>
  </si>
  <si>
    <t>Chi tiết nhiệm vụ nghiên cứu</t>
  </si>
  <si>
    <t>GET /research-tasks/{id}: kiểm tra user thuộc đề tài nghiên cứu trước khi trả dữ liệu.</t>
  </si>
  <si>
    <t>Cập nhật nhiệm vụ nghiên cứu</t>
  </si>
  <si>
    <t>PATCH /research-tasks/{id}: cập nhật các trường hợp lệ, không ghi đè trường không gửi lên.</t>
  </si>
  <si>
    <t>exclude_unset=True</t>
  </si>
  <si>
    <t>Xóa nhiệm vụ nghiên cứu</t>
  </si>
  <si>
    <t>DELETE /research-tasks/{id}: áp dụng permission phù hợp và trả response đúng chuẩn.</t>
  </si>
  <si>
    <t>Giao việc</t>
  </si>
  <si>
    <t>Gán assignee là một thành viên nhóm nghiên cứu; không cho gán user ngoài đề tài nghiên cứu.</t>
  </si>
  <si>
    <t>Validate cả lúc Create và Update</t>
  </si>
  <si>
    <t>Workflow</t>
  </si>
  <si>
    <t>Quản lý status TODO/IN_PROGRESS/DONE và priority LOW/MEDIUM/HIGH với validation.</t>
  </si>
  <si>
    <t>field_validator kiểm tra enum hợp lệ</t>
  </si>
  <si>
    <t>Search &amp; filter</t>
  </si>
  <si>
    <t>Filter theo status, priority, assignee; search title; có thể kết hợp nhiều điều kiện.</t>
  </si>
  <si>
    <t>Pagination &amp; sort</t>
  </si>
  <si>
    <t>Phân trang limit/offset hoặc page/size; sort theo created_at/due_date.</t>
  </si>
  <si>
    <t>Có thêm sort_by/order nâng cao hơn yêu cầu</t>
  </si>
  <si>
    <t>Permission matrix</t>
  </si>
  <si>
    <t>Owner/member/assignee có quyền khác nhau; endpoint phải chặn truy cập trái phép bằng 403.</t>
  </si>
  <si>
    <t>Comment</t>
  </si>
  <si>
    <t>Thêm comment (trao đổi học thuật giữa các thành viên) cho nhiệm vụ nghiên cứu; chỉ thành viên đề tài nghiên cứu được xem/tạo comment.</t>
  </si>
  <si>
    <t>Attachment</t>
  </si>
  <si>
    <t>Upload file đính kèm (tài liệu, bản thảo, dữ liệu nghiên cứu) cho nhiệm vụ nghiên cứu, kiểm tra loại/kích thước file và lưu đường dẫn.</t>
  </si>
  <si>
    <t>Research Documents: validate extension, dung lượng tối đa 5MB, cascade delete</t>
  </si>
  <si>
    <t>Quality</t>
  </si>
  <si>
    <t>Test API</t>
  </si>
  <si>
    <t>Lập checklist test luồng chính trên Swagger/Postman; test cả case đúng và case lỗi.</t>
  </si>
  <si>
    <t>Đã test 17+ test case cho Tiết 3, đầy đủ case đúng/lỗi cho Tiết 1-4</t>
  </si>
  <si>
    <t>Fix bug</t>
  </si>
  <si>
    <t>Sửa lỗi phát hiện khi integration test; không còn lỗi 500 ở các case nghiệp vụ thông thường.</t>
  </si>
  <si>
    <t>Tách IntegrityError/SQLAlchemyError riêng, không còn rơi vào 500 chung</t>
  </si>
  <si>
    <t>Documentation</t>
  </si>
  <si>
    <t>Swagger</t>
  </si>
  <si>
    <t>Hoàn thiện summary/description, response model, status code và tags để Swagger dễ đọc.</t>
  </si>
  <si>
    <t>Đã thêm summary/description cho toàn bộ endpoint</t>
  </si>
  <si>
    <t>TỔNG ĐIỂM ĐÃ ĐẠT (dựa trên cột Trạng thái = Hoàn thành)</t>
  </si>
  <si>
    <t>TỔNG ĐIỂM TỐI ĐA (tổng toàn bộ cột Điểm tối đa)</t>
  </si>
  <si>
    <t>CHÚ GIẢI:</t>
  </si>
  <si>
    <t>Đã hoàn thành</t>
  </si>
  <si>
    <t>Chưa làm / đang làm</t>
  </si>
  <si>
    <t>Ô cần điền: nhập điểm tối đa theo đúng thang điểm thật của lớp</t>
  </si>
  <si>
    <t>Mức độ: Bắt buộc</t>
  </si>
  <si>
    <t>LUỒNG NGHIỆP VỤ ĐỂ GIẢNG VIÊN TEST TỪNG BUỔI</t>
  </si>
  <si>
    <t>Mỗi buổi liệt kê các bước gọi API theo đúng thứ tự nghiệp vụ (đăng nhập trước, thao tác sau) kèm kết quả kỳ vọng, và phần giải trình lý do chọn cách làm này thay vì cách khác.</t>
  </si>
  <si>
    <t>1. LUỒNG TEST THEO TỪNG BUỔI (Buổi 1 → Buổi 5)</t>
  </si>
  <si>
    <t>Bước</t>
  </si>
  <si>
    <t>Luồng nghiệp vụ (Method + Endpoint)</t>
  </si>
  <si>
    <t>Input mẫu / Điều kiện</t>
  </si>
  <si>
    <t>Kết quả kỳ vọng</t>
  </si>
  <si>
    <t>GET /health</t>
  </si>
  <si>
    <t>Không cần token</t>
  </si>
  <si>
    <t>200 OK — xác nhận server chạy và DB kết nối được (create_all() không lỗi lúc khởi động)</t>
  </si>
  <si>
    <t>POST /auth/register</t>
  </si>
  <si>
    <t>Email hợp lệ @gmail.com, password đủ mạnh</t>
  </si>
  <si>
    <t>201 — tạo user mới, role mặc định USER</t>
  </si>
  <si>
    <t>Lặp lại email vừa đăng ký ở bước 1</t>
  </si>
  <si>
    <t>400 — "Email đã được sử dụng"</t>
  </si>
  <si>
    <t>POST /auth/login</t>
  </si>
  <si>
    <t>Email + password đúng của bước 1 (form-data, không phải JSON)</t>
  </si>
  <si>
    <t>200 — trả access_token (Bearer)</t>
  </si>
  <si>
    <t>Đúng email, sai password</t>
  </si>
  <si>
    <t>401 — "Email hoặc mật khẩu không đúng"</t>
  </si>
  <si>
    <t>Tài khoản có is_active=False</t>
  </si>
  <si>
    <t>403 — "Tài khoản đã bị khóa"</t>
  </si>
  <si>
    <t>GET /users/me</t>
  </si>
  <si>
    <t>Header Authorization: Bearer &lt;token&gt; bước 3</t>
  </si>
  <si>
    <t>200 — thông tin user hiện tại, KHÔNG có field password_hash</t>
  </si>
  <si>
    <t>GET /users</t>
  </si>
  <si>
    <t>Token của user role=USER</t>
  </si>
  <si>
    <t>403 — chỉ ADMIN được gọi</t>
  </si>
  <si>
    <t>GET /users?search=...&amp;is_active=true</t>
  </si>
  <si>
    <t>Token của user role=ADMIN</t>
  </si>
  <si>
    <t>200 — danh sách user, lọc đúng theo search/is_active</t>
  </si>
  <si>
    <t>POST /research-projects</t>
  </si>
  <si>
    <t>Token user A, name hợp lệ</t>
  </si>
  <si>
    <t>201 — tạo project, user A tự động là OWNER</t>
  </si>
  <si>
    <t>Lặp lại đúng tên (kể cả đổi hoa/thường) với cùng user A</t>
  </si>
  <si>
    <t>400 — "Bạn đã sở hữu một đề tài nghiên cứu có tên này rồi!"</t>
  </si>
  <si>
    <t>GET /research-projects</t>
  </si>
  <si>
    <t>Token user B (chưa từng tham gia project nào)</t>
  </si>
  <si>
    <t>200 — trả mảng rỗng (không thấy project của A)</t>
  </si>
  <si>
    <t>GET /research-projects/{id}</t>
  </si>
  <si>
    <t>Token user B, id project của A</t>
  </si>
  <si>
    <t>403 — "Bạn không thuộc về đề tài này"</t>
  </si>
  <si>
    <t>id không tồn tại (vd 999999)</t>
  </si>
  <si>
    <t>404 — "Không tìm thấy đề tài"</t>
  </si>
  <si>
    <t>PATCH /research-projects/{id}</t>
  </si>
  <si>
    <t>Token user là MEMBER (không phải OWNER)</t>
  </si>
  <si>
    <t>403 — "Chỉ OWNER được sửa đề tài"</t>
  </si>
  <si>
    <t>Body rỗng {}</t>
  </si>
  <si>
    <t>400 — "Không có dữ liệu nào để cập nhật"</t>
  </si>
  <si>
    <t>POST /research-projects/{id}/members?user_id=&lt;chính A&gt;</t>
  </si>
  <si>
    <t>OWNER tự thêm chính mình</t>
  </si>
  <si>
    <t>400 — "Bạn không thể tự thêm chính mình vào làm thành viên"</t>
  </si>
  <si>
    <t>DELETE /research-projects/{id}/members/{owner_id}</t>
  </si>
  <si>
    <t>Xóa OWNER khi đó là OWNER duy nhất còn lại</t>
  </si>
  <si>
    <t>400 — "Không thể xóa OWNER cuối cùng của đề tài"</t>
  </si>
  <si>
    <t>DELETE /research-projects/{id}</t>
  </si>
  <si>
    <t>OWNER xóa project của chính mình</t>
  </si>
  <si>
    <t>204 — soft delete (is_deleted=True), KHÔNG mất record trong DB</t>
  </si>
  <si>
    <t>Gọi lại đúng id vừa xóa ở bước 10</t>
  </si>
  <si>
    <t>404 — vì get_project_or_404 đã lọc is_deleted=False</t>
  </si>
  <si>
    <t>POST /research-projects/{id}/research-tasks</t>
  </si>
  <si>
    <t>Token member hợp lệ, title + status mặc định</t>
  </si>
  <si>
    <t>201 — tạo task, status=TODO, priority=MEDIUM</t>
  </si>
  <si>
    <t>POST .../research-tasks</t>
  </si>
  <si>
    <t>Token của user không phải member đề tài</t>
  </si>
  <si>
    <t>403</t>
  </si>
  <si>
    <t>assignee_id là user KHÔNG thuộc project</t>
  </si>
  <si>
    <t>400 — "Người được giao việc phải là thành viên của đề tài"</t>
  </si>
  <si>
    <t>status="HOT" (giá trị ngoài Enum)</t>
  </si>
  <si>
    <t>422 — Pydantic tự chặn, không lọt tới DB</t>
  </si>
  <si>
    <t>GET .../research-tasks?status=TODO&amp;page=1&amp;page_size=5</t>
  </si>
  <si>
    <t>Token member</t>
  </si>
  <si>
    <t>200 — đúng filter + đúng số lượng theo page_size</t>
  </si>
  <si>
    <t>GET /research-tasks/{task_id}</t>
  </si>
  <si>
    <t>Path phẳng, không cần project_id trên URL</t>
  </si>
  <si>
    <t>200 — chi tiết task, vẫn check member đúng project của task đó</t>
  </si>
  <si>
    <t>PATCH /research-tasks/{task_id}</t>
  </si>
  <si>
    <t>Body {} rỗng</t>
  </si>
  <si>
    <t>Đổi assignee_id sang user ngoài project</t>
  </si>
  <si>
    <t>400 — validate lại giống lúc tạo</t>
  </si>
  <si>
    <t>DELETE /research-tasks/{task_id}</t>
  </si>
  <si>
    <t>Token của MEMBER thường (không phải OWNER đề tài)</t>
  </si>
  <si>
    <t>403 — "Chỉ OWNER của đề tài được xóa nhiệm vụ"</t>
  </si>
  <si>
    <t>Token OWNER đề tài</t>
  </si>
  <si>
    <t>204</t>
  </si>
  <si>
    <t>Chạy lại toàn bộ case lỗi ở Buổi 2-4 qua Swagger</t>
  </si>
  <si>
    <t>Theo checklist test</t>
  </si>
  <si>
    <t>Không còn case nào trả nhầm 500 cho lỗi nghiệp vụ thông thường</t>
  </si>
  <si>
    <t>POST /research-projects/{id}/documents</t>
  </si>
  <si>
    <t>Upload file .pdf hợp lệ, &lt;10MB</t>
  </si>
  <si>
    <t>201 — lưu file, trả metadata (không trả path thật ra ngoài nếu che)</t>
  </si>
  <si>
    <t>POST .../documents</t>
  </si>
  <si>
    <t>Upload file .exe hoặc đuôi lạ</t>
  </si>
  <si>
    <t>400 — chặn bởi whitelist định dạng</t>
  </si>
  <si>
    <t>Upload file &gt;10MB</t>
  </si>
  <si>
    <t>400 — "File vượt quá dung lượng cho phép"</t>
  </si>
  <si>
    <t>filename cố tình chứa "../../"</t>
  </si>
  <si>
    <t>Vẫn lưu an toàn trong thư mục uploads/ (không path traversal, do dùng uuid làm tên lưu)</t>
  </si>
  <si>
    <t>DELETE /research-projects/{id}/documents/{doc_id}</t>
  </si>
  <si>
    <t>OWNER hoặc member xóa tài liệu đã upload</t>
  </si>
  <si>
    <t>204 — xóa cả file vật lý lẫn record DB</t>
  </si>
  <si>
    <t>2. GIẢI TRÌNH: TẠI SAO CHỌN CÁCH NÀY MÀ KHÔNG DÙNG CÁCH KHÁC</t>
  </si>
  <si>
    <t>Câu hỏi giảng viên có thể hỏi</t>
  </si>
  <si>
    <t>Trả lời / Lý do chọn</t>
  </si>
  <si>
    <t>Vì sao /auth/login nhận form-data (OAuth2PasswordRequestForm) thay vì JSON body?</t>
  </si>
  <si>
    <t>Đây là chuẩn OAuth2 Password Flow mà FastAPI quy định — nút "Authorize" trên Swagger chỉ hoạt động được khi login nhận form-data theo chuẩn này, dùng JSON sẽ mất khả năng test trực tiếp qua Swagger UI.</t>
  </si>
  <si>
    <t>Vì sao xóa đề tài dùng soft delete (is_deleted/deleted_at) thay vì xóa cứng (DELETE khỏi DB)?</t>
  </si>
  <si>
    <t>Giữ lại toàn bộ dữ liệu con (tasks, members) để có thể khôi phục hoặc tra cứu lại sau này, tránh mất dữ liệu vĩnh viễn chỉ vì OWNER bấm nhầm nút xóa — đây cũng là yêu cầu "Nâng cao: Soft delete" trong bảng task.</t>
  </si>
  <si>
    <t>Vì sao check trùng tên đề tài so sánh không phân biệt hoa/thường (LOWER)?</t>
  </si>
  <si>
    <t>Tránh trường hợp "AI Research" và "ai research" bị coi là 2 đề tài khác nhau một cách tình cờ, trong khi về mặt nghiệp vụ đó là cùng 1 tên.</t>
  </si>
  <si>
    <t>Vì sao create_project dùng flush() rồi mới commit(), thay vì commit() 2 lần liên tiếp?</t>
  </si>
  <si>
    <t>Đảm bảo tính atomic: nếu insert ResearchMember (OWNER) thất bại sau khi đã insert ResearchProject, flush() giúp cả 2 thao tác nằm chung 1 transaction nên rollback cùng nhau — tránh trường hợp có project nhưng không có OWNER nào.</t>
  </si>
  <si>
    <t>Vì sao GET/PATCH/DELETE task dùng path phẳng /research-tasks/{id} thay vì lồng dưới project như lúc tạo (/research-projects/{id}/research-tasks/{id})?</t>
  </si>
  <si>
    <t>Vì đề bài yêu cầu đúng định dạng /research-tasks/{id}, và task_id đã là duy nhất toàn hệ thống nên không bắt buộc phải biết project_id mới truy vấn được — khác với hành động Tạo/Liệt kê vốn cần biết rõ thuộc project nào.</t>
  </si>
  <si>
    <t>Vì sao dùng Enum (TaskStatus/TaskPriority) thay vì cho phép client gửi chuỗi tự do?</t>
  </si>
  <si>
    <t>Chặn dữ liệu rác ngay ở tầng validate Pydantic (trả 422 rõ ràng), thay vì để giá trị status không xác định lọt xuống DB rồi mới phát hiện lỗi lúc hiển thị hoặc filter.</t>
  </si>
  <si>
    <t>Vì sao chỉ OWNER được xóa task, MEMBER thường thì không, kể cả assignee của task đó?</t>
  </si>
  <si>
    <t>Model ResearchTask hiện không lưu người tạo (created_by), nên không thể phân biệt "ai tạo ra task này" để cho phép riêng người đó xóa — dùng lại đúng quy tắc OWNER-only đã áp dụng nhất quán cho Project để tránh 2 chuẩn phân quyền khác nhau trong cùng hệ thống.</t>
  </si>
  <si>
    <t>Vì sao tách riêng IntegrityError/SQLAlchemyError thay vì gộp chung vào 1 Exception handler?</t>
  </si>
  <si>
    <t>Trả đúng mã lỗi ngữ nghĩa cho từng loại lỗi (409 khi trùng dữ liệu/vi phạm ràng buộc, 503 khi mất kết nối DB) thay vì luôn trả 500 chung chung — dễ debug hơn và đúng chuẩn REST hơn khi giảng viên test case lỗi.</t>
  </si>
  <si>
    <t>Vì sao Attachment không lưu file bằng đúng tên gốc (file.filename) mà sinh UUID ngẫu nhiên?</t>
  </si>
  <si>
    <t>Chặn lỗ hổng path traversal (client có thể gửi filename dạng "../../app/main.py" để ghi đè file hệ thống) và tránh 2 người upload trùng tên file thì ghi đè âm thầm lẫn nhau. Tên gốc vẫn được lưu ở cột file_name để hiển thị cho người dùng, chỉ không dùng làm đường dẫn vật lý.</t>
  </si>
  <si>
    <t>Vì sao created_at/updated_at dùng datetime.now (giờ hệ thống) thay vì func.now()/utcnow()?</t>
  </si>
  <si>
    <t>Máy chạy demo đã đặt sẵn múi giờ Việt Nam, nên datetime.now() trả về đúng giờ VN mà không cần xử lý timezone phức tạp — func.now() tính ở phía DB server và utcnow() luôn là giờ quốc tế, có thể lệch 7 tiếng nếu không cấu hình thêm.</t>
  </si>
  <si>
    <t xml:space="preserve">Nguyễn Văn Thông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</si>
</sst>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16"/>
      <color rgb="FF1F4E78"/>
      <name val="Arial"/>
      <charset val="1"/>
    </font>
    <font>
      <i/>
      <sz val="10"/>
      <color rgb="FF595959"/>
      <name val="Arial"/>
      <charset val="1"/>
    </font>
    <font>
      <b/>
      <sz val="10"/>
      <name val="Arial"/>
      <charset val="1"/>
    </font>
    <font>
      <sz val="10"/>
      <name val="Arial"/>
      <charset val="1"/>
    </font>
    <font>
      <b/>
      <sz val="12"/>
      <color rgb="FF1F4E78"/>
      <name val="Arial"/>
      <charset val="1"/>
    </font>
    <font>
      <b/>
      <sz val="11"/>
      <color rgb="FFFFFFFF"/>
      <name val="Arial"/>
      <charset val="1"/>
    </font>
    <font>
      <sz val="10"/>
      <color rgb="FF006100"/>
      <name val="Arial"/>
      <charset val="1"/>
    </font>
    <font>
      <sz val="10"/>
      <color rgb="FF9C6500"/>
      <name val="Arial"/>
      <charset val="1"/>
    </font>
    <font>
      <b/>
      <sz val="10"/>
      <color rgb="FFFFFFFF"/>
      <name val="Arial"/>
      <charset val="1"/>
    </font>
    <font>
      <sz val="9"/>
      <name val="Arial"/>
      <charset val="1"/>
    </font>
    <font>
      <sz val="9"/>
      <color rgb="FF006100"/>
      <name val="Arial"/>
      <charset val="1"/>
    </font>
    <font>
      <sz val="9"/>
      <color rgb="FF9C6500"/>
      <name val="Arial"/>
      <charset val="1"/>
    </font>
    <font>
      <b/>
      <sz val="11"/>
      <color rgb="FF1F4E78"/>
      <name val="Arial"/>
      <charset val="1"/>
    </font>
    <font>
      <b/>
      <sz val="9"/>
      <name val="Arial"/>
      <charset val="1"/>
    </font>
    <font>
      <i/>
      <sz val="9"/>
      <name val="Arial"/>
      <charset val="1"/>
    </font>
    <font>
      <b/>
      <sz val="14"/>
      <color rgb="FF1F4E78"/>
      <name val="Arial"/>
      <charset val="1"/>
    </font>
  </fonts>
  <fills count="9">
    <fill>
      <patternFill patternType="none"/>
    </fill>
    <fill>
      <patternFill patternType="gray125"/>
    </fill>
    <fill>
      <patternFill patternType="solid">
        <fgColor rgb="FFFFFF00"/>
        <bgColor rgb="FFFFFF00"/>
      </patternFill>
    </fill>
    <fill>
      <patternFill patternType="solid">
        <fgColor rgb="FF1F4E78"/>
        <bgColor rgb="FF003366"/>
      </patternFill>
    </fill>
    <fill>
      <patternFill patternType="solid">
        <fgColor rgb="FFC6EFCE"/>
        <bgColor rgb="FFD9E1F2"/>
      </patternFill>
    </fill>
    <fill>
      <patternFill patternType="solid">
        <fgColor rgb="FFFFEB9C"/>
        <bgColor rgb="FFFCE4D6"/>
      </patternFill>
    </fill>
    <fill>
      <patternFill patternType="solid">
        <fgColor rgb="FFFCE4D6"/>
        <bgColor rgb="FFEFEFEF"/>
      </patternFill>
    </fill>
    <fill>
      <patternFill patternType="solid">
        <fgColor rgb="FFD9E1F2"/>
        <bgColor rgb="FFD9D9D9"/>
      </patternFill>
    </fill>
    <fill>
      <patternFill patternType="solid">
        <fgColor rgb="FFEFEFEF"/>
        <bgColor rgb="FFFCE4D6"/>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1">
    <xf numFmtId="0" fontId="0" fillId="0" borderId="0" xfId="0"/>
    <xf numFmtId="0" fontId="3" fillId="8" borderId="2" xfId="0" applyFont="1" applyFill="1" applyBorder="1" applyAlignment="1">
      <alignment horizontal="center" vertical="center" wrapText="1"/>
    </xf>
    <xf numFmtId="0" fontId="15" fillId="0" borderId="0" xfId="0" applyFont="1"/>
    <xf numFmtId="0" fontId="3" fillId="0" borderId="0" xfId="0" applyFont="1"/>
    <xf numFmtId="0" fontId="1" fillId="0" borderId="0" xfId="0" applyFont="1"/>
    <xf numFmtId="0" fontId="2" fillId="0" borderId="0" xfId="0" applyFont="1"/>
    <xf numFmtId="0" fontId="3" fillId="0" borderId="0" xfId="0" applyFont="1"/>
    <xf numFmtId="0" fontId="4" fillId="0" borderId="0" xfId="0" applyFont="1"/>
    <xf numFmtId="0" fontId="4" fillId="2" borderId="0" xfId="0" applyFont="1" applyFill="1"/>
    <xf numFmtId="0" fontId="5" fillId="0" borderId="0" xfId="0" applyFont="1"/>
    <xf numFmtId="0" fontId="6" fillId="3" borderId="1" xfId="0" applyFont="1" applyFill="1" applyBorder="1" applyAlignment="1">
      <alignment horizontal="center" vertical="center" wrapText="1"/>
    </xf>
    <xf numFmtId="0" fontId="4" fillId="0" borderId="1" xfId="0" applyFont="1" applyBorder="1" applyAlignment="1">
      <alignment vertical="center" wrapText="1"/>
    </xf>
    <xf numFmtId="0" fontId="7" fillId="4" borderId="1" xfId="0" applyFont="1" applyFill="1" applyBorder="1" applyAlignment="1">
      <alignment vertical="center" wrapText="1"/>
    </xf>
    <xf numFmtId="0" fontId="8" fillId="5" borderId="1" xfId="0" applyFont="1" applyFill="1" applyBorder="1" applyAlignment="1">
      <alignment vertical="center" wrapText="1"/>
    </xf>
    <xf numFmtId="0" fontId="9" fillId="3" borderId="1" xfId="0" applyFont="1" applyFill="1" applyBorder="1" applyAlignment="1">
      <alignment horizontal="center" vertical="center" wrapText="1"/>
    </xf>
    <xf numFmtId="0" fontId="10" fillId="0" borderId="1" xfId="0" applyFont="1" applyBorder="1" applyAlignment="1">
      <alignment vertical="center" wrapText="1"/>
    </xf>
    <xf numFmtId="0" fontId="10" fillId="6" borderId="1" xfId="0" applyFont="1" applyFill="1" applyBorder="1" applyAlignment="1">
      <alignment vertical="center" wrapText="1"/>
    </xf>
    <xf numFmtId="0" fontId="11" fillId="4" borderId="1" xfId="0" applyFont="1" applyFill="1" applyBorder="1" applyAlignment="1">
      <alignment vertical="center" wrapText="1"/>
    </xf>
    <xf numFmtId="0" fontId="0" fillId="2" borderId="1" xfId="0" applyFill="1" applyBorder="1"/>
    <xf numFmtId="0" fontId="12" fillId="5" borderId="1" xfId="0" applyFont="1" applyFill="1" applyBorder="1" applyAlignment="1">
      <alignment vertical="center" wrapText="1"/>
    </xf>
    <xf numFmtId="0" fontId="13" fillId="7" borderId="1" xfId="0" applyFont="1" applyFill="1" applyBorder="1"/>
    <xf numFmtId="0" fontId="14" fillId="0" borderId="0" xfId="0" applyFont="1"/>
    <xf numFmtId="0" fontId="0" fillId="4" borderId="1" xfId="0" applyFill="1" applyBorder="1"/>
    <xf numFmtId="0" fontId="0" fillId="5" borderId="1" xfId="0" applyFill="1" applyBorder="1"/>
    <xf numFmtId="0" fontId="0" fillId="6" borderId="1" xfId="0" applyFill="1" applyBorder="1"/>
    <xf numFmtId="0" fontId="16" fillId="0" borderId="0" xfId="0" applyFont="1"/>
    <xf numFmtId="0" fontId="6" fillId="3" borderId="2" xfId="0" applyFont="1" applyFill="1" applyBorder="1" applyAlignment="1">
      <alignment horizontal="center" vertical="top" wrapText="1"/>
    </xf>
    <xf numFmtId="0" fontId="3" fillId="8" borderId="2" xfId="0" applyFont="1" applyFill="1" applyBorder="1" applyAlignment="1">
      <alignment horizontal="center" vertical="center" wrapText="1"/>
    </xf>
    <xf numFmtId="0" fontId="4" fillId="0" borderId="2" xfId="0" applyFont="1" applyBorder="1" applyAlignment="1">
      <alignment horizontal="center" vertical="top" wrapText="1"/>
    </xf>
    <xf numFmtId="0" fontId="4" fillId="0" borderId="2" xfId="0" applyFont="1" applyBorder="1" applyAlignment="1">
      <alignment vertical="top" wrapText="1"/>
    </xf>
    <xf numFmtId="14" fontId="4" fillId="2" borderId="0" xfId="0" applyNumberFormat="1"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9C6500"/>
      <rgbColor rgb="FF800080"/>
      <rgbColor rgb="FF008080"/>
      <rgbColor rgb="FFB7B7B7"/>
      <rgbColor rgb="FF808080"/>
      <rgbColor rgb="FF9999FF"/>
      <rgbColor rgb="FF993366"/>
      <rgbColor rgb="FFEFEFEF"/>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CE4D6"/>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9"/>
  <sheetViews>
    <sheetView showGridLines="0" topLeftCell="A7" zoomScale="119" zoomScaleNormal="100" workbookViewId="0">
      <selection activeCell="D15" sqref="D15"/>
    </sheetView>
  </sheetViews>
  <sheetFormatPr defaultColWidth="8.6640625" defaultRowHeight="14.4" x14ac:dyDescent="0.3"/>
  <cols>
    <col min="1" max="1" width="3" customWidth="1"/>
    <col min="2" max="2" width="22.44140625" customWidth="1"/>
    <col min="3" max="3" width="45" customWidth="1"/>
    <col min="4" max="4" width="18" customWidth="1"/>
    <col min="5" max="5" width="45" customWidth="1"/>
  </cols>
  <sheetData>
    <row r="2" spans="2:5" ht="19.5" customHeight="1" x14ac:dyDescent="0.4">
      <c r="B2" s="4" t="s">
        <v>0</v>
      </c>
    </row>
    <row r="3" spans="2:5" ht="15" customHeight="1" x14ac:dyDescent="0.3">
      <c r="B3" s="5" t="s">
        <v>1</v>
      </c>
    </row>
    <row r="5" spans="2:5" ht="15" customHeight="1" x14ac:dyDescent="0.3">
      <c r="B5" s="6" t="s">
        <v>2</v>
      </c>
      <c r="C5" s="7" t="s">
        <v>3</v>
      </c>
    </row>
    <row r="6" spans="2:5" ht="15" customHeight="1" x14ac:dyDescent="0.3">
      <c r="B6" s="6" t="s">
        <v>4</v>
      </c>
      <c r="C6" s="8" t="s">
        <v>295</v>
      </c>
    </row>
    <row r="7" spans="2:5" ht="15" customHeight="1" x14ac:dyDescent="0.3">
      <c r="B7" s="6" t="s">
        <v>5</v>
      </c>
      <c r="C7" s="7" t="s">
        <v>6</v>
      </c>
    </row>
    <row r="8" spans="2:5" ht="15" customHeight="1" x14ac:dyDescent="0.3">
      <c r="B8" s="6" t="s">
        <v>7</v>
      </c>
      <c r="C8" s="7" t="s">
        <v>8</v>
      </c>
    </row>
    <row r="9" spans="2:5" ht="15" customHeight="1" x14ac:dyDescent="0.3">
      <c r="B9" s="6" t="s">
        <v>9</v>
      </c>
      <c r="C9" s="7" t="s">
        <v>10</v>
      </c>
    </row>
    <row r="10" spans="2:5" ht="15" customHeight="1" x14ac:dyDescent="0.3">
      <c r="B10" s="6" t="s">
        <v>11</v>
      </c>
      <c r="C10" s="30">
        <v>46261</v>
      </c>
    </row>
    <row r="12" spans="2:5" ht="15" customHeight="1" x14ac:dyDescent="0.3">
      <c r="B12" s="9" t="s">
        <v>12</v>
      </c>
    </row>
    <row r="13" spans="2:5" ht="15" customHeight="1" x14ac:dyDescent="0.3">
      <c r="B13" s="10" t="s">
        <v>13</v>
      </c>
      <c r="C13" s="10" t="s">
        <v>14</v>
      </c>
      <c r="D13" s="10" t="s">
        <v>15</v>
      </c>
      <c r="E13" s="10" t="s">
        <v>16</v>
      </c>
    </row>
    <row r="14" spans="2:5" ht="23.25" customHeight="1" x14ac:dyDescent="0.3">
      <c r="B14" s="11" t="s">
        <v>17</v>
      </c>
      <c r="C14" s="11" t="s">
        <v>18</v>
      </c>
      <c r="D14" s="12" t="s">
        <v>19</v>
      </c>
      <c r="E14" s="11" t="s">
        <v>20</v>
      </c>
    </row>
    <row r="15" spans="2:5" ht="23.25" customHeight="1" x14ac:dyDescent="0.3">
      <c r="B15" s="11" t="s">
        <v>21</v>
      </c>
      <c r="C15" s="11" t="s">
        <v>22</v>
      </c>
      <c r="D15" s="12" t="s">
        <v>19</v>
      </c>
      <c r="E15" s="11" t="s">
        <v>23</v>
      </c>
    </row>
    <row r="16" spans="2:5" ht="23.25" customHeight="1" x14ac:dyDescent="0.3">
      <c r="B16" s="11" t="s">
        <v>24</v>
      </c>
      <c r="C16" s="11" t="s">
        <v>25</v>
      </c>
      <c r="D16" s="12" t="s">
        <v>19</v>
      </c>
      <c r="E16" s="11" t="s">
        <v>26</v>
      </c>
    </row>
    <row r="17" spans="2:5" ht="23.25" customHeight="1" x14ac:dyDescent="0.3">
      <c r="B17" s="11" t="s">
        <v>27</v>
      </c>
      <c r="C17" s="11" t="s">
        <v>28</v>
      </c>
      <c r="D17" s="12" t="s">
        <v>19</v>
      </c>
      <c r="E17" s="11" t="s">
        <v>29</v>
      </c>
    </row>
    <row r="18" spans="2:5" ht="23.25" customHeight="1" x14ac:dyDescent="0.3">
      <c r="B18" s="11" t="s">
        <v>30</v>
      </c>
      <c r="C18" s="11" t="s">
        <v>31</v>
      </c>
      <c r="D18" s="13" t="s">
        <v>32</v>
      </c>
      <c r="E18" s="11" t="s">
        <v>33</v>
      </c>
    </row>
    <row r="19" spans="2:5" ht="15" customHeight="1" x14ac:dyDescent="0.3">
      <c r="B19" s="11" t="s">
        <v>34</v>
      </c>
      <c r="C19" s="11" t="s">
        <v>35</v>
      </c>
      <c r="D19" s="12" t="s">
        <v>36</v>
      </c>
      <c r="E19" s="11" t="s">
        <v>37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3"/>
  <sheetViews>
    <sheetView showGridLines="0" tabSelected="1" zoomScaleNormal="100" workbookViewId="0">
      <pane ySplit="1" topLeftCell="A2" activePane="bottomLeft" state="frozen"/>
      <selection pane="bottomLeft" activeCell="H8" sqref="H8"/>
    </sheetView>
  </sheetViews>
  <sheetFormatPr defaultColWidth="8.6640625" defaultRowHeight="14.4" x14ac:dyDescent="0.3"/>
  <cols>
    <col min="1" max="1" width="10" customWidth="1"/>
    <col min="2" max="3" width="22" customWidth="1"/>
    <col min="4" max="4" width="55" customWidth="1"/>
    <col min="5" max="5" width="14" customWidth="1"/>
    <col min="6" max="6" width="16" customWidth="1"/>
    <col min="7" max="7" width="12" customWidth="1"/>
    <col min="8" max="8" width="40" customWidth="1"/>
  </cols>
  <sheetData>
    <row r="1" spans="1:8" ht="15" customHeight="1" x14ac:dyDescent="0.3">
      <c r="A1" s="14" t="s">
        <v>13</v>
      </c>
      <c r="B1" s="14" t="s">
        <v>38</v>
      </c>
      <c r="C1" s="14" t="s">
        <v>39</v>
      </c>
      <c r="D1" s="14" t="s">
        <v>40</v>
      </c>
      <c r="E1" s="14" t="s">
        <v>41</v>
      </c>
      <c r="F1" s="14" t="s">
        <v>15</v>
      </c>
      <c r="G1" s="14" t="s">
        <v>42</v>
      </c>
      <c r="H1" s="14" t="s">
        <v>16</v>
      </c>
    </row>
    <row r="2" spans="1:8" ht="21.75" customHeight="1" x14ac:dyDescent="0.3">
      <c r="A2" s="15" t="s">
        <v>17</v>
      </c>
      <c r="B2" s="15" t="s">
        <v>43</v>
      </c>
      <c r="C2" s="15" t="s">
        <v>44</v>
      </c>
      <c r="D2" s="15" t="s">
        <v>45</v>
      </c>
      <c r="E2" s="16" t="s">
        <v>46</v>
      </c>
      <c r="F2" s="17" t="s">
        <v>19</v>
      </c>
      <c r="G2" s="18"/>
      <c r="H2" s="15" t="s">
        <v>47</v>
      </c>
    </row>
    <row r="3" spans="1:8" ht="21.75" customHeight="1" x14ac:dyDescent="0.3">
      <c r="A3" s="15" t="s">
        <v>17</v>
      </c>
      <c r="B3" s="15" t="s">
        <v>43</v>
      </c>
      <c r="C3" s="15" t="s">
        <v>48</v>
      </c>
      <c r="D3" s="15" t="s">
        <v>49</v>
      </c>
      <c r="E3" s="16" t="s">
        <v>46</v>
      </c>
      <c r="F3" s="17" t="s">
        <v>19</v>
      </c>
      <c r="G3" s="18"/>
      <c r="H3" s="15" t="s">
        <v>50</v>
      </c>
    </row>
    <row r="4" spans="1:8" ht="21.75" customHeight="1" x14ac:dyDescent="0.3">
      <c r="A4" s="15" t="s">
        <v>17</v>
      </c>
      <c r="B4" s="15" t="s">
        <v>51</v>
      </c>
      <c r="C4" s="15" t="s">
        <v>52</v>
      </c>
      <c r="D4" s="15" t="s">
        <v>53</v>
      </c>
      <c r="E4" s="16" t="s">
        <v>46</v>
      </c>
      <c r="F4" s="17" t="s">
        <v>19</v>
      </c>
      <c r="G4" s="18"/>
      <c r="H4" s="15" t="s">
        <v>54</v>
      </c>
    </row>
    <row r="5" spans="1:8" ht="21.75" customHeight="1" x14ac:dyDescent="0.3">
      <c r="A5" s="15" t="s">
        <v>17</v>
      </c>
      <c r="B5" s="15" t="s">
        <v>51</v>
      </c>
      <c r="C5" s="15" t="s">
        <v>55</v>
      </c>
      <c r="D5" s="15" t="s">
        <v>56</v>
      </c>
      <c r="E5" s="16" t="s">
        <v>46</v>
      </c>
      <c r="F5" s="17" t="s">
        <v>19</v>
      </c>
      <c r="G5" s="18"/>
      <c r="H5" s="15" t="s">
        <v>57</v>
      </c>
    </row>
    <row r="6" spans="1:8" ht="21.75" customHeight="1" x14ac:dyDescent="0.3">
      <c r="A6" s="15" t="s">
        <v>17</v>
      </c>
      <c r="B6" s="15" t="s">
        <v>51</v>
      </c>
      <c r="C6" s="15" t="s">
        <v>58</v>
      </c>
      <c r="D6" s="15" t="s">
        <v>59</v>
      </c>
      <c r="E6" s="16" t="s">
        <v>46</v>
      </c>
      <c r="F6" s="17" t="s">
        <v>19</v>
      </c>
      <c r="G6" s="18"/>
      <c r="H6" s="15"/>
    </row>
    <row r="7" spans="1:8" ht="15" customHeight="1" x14ac:dyDescent="0.3">
      <c r="A7" s="15" t="s">
        <v>17</v>
      </c>
      <c r="B7" s="15" t="s">
        <v>51</v>
      </c>
      <c r="C7" s="15" t="s">
        <v>60</v>
      </c>
      <c r="D7" s="15" t="s">
        <v>61</v>
      </c>
      <c r="E7" s="16" t="s">
        <v>46</v>
      </c>
      <c r="F7" s="17" t="s">
        <v>19</v>
      </c>
      <c r="G7" s="18"/>
      <c r="H7" s="15" t="s">
        <v>62</v>
      </c>
    </row>
    <row r="8" spans="1:8" ht="21.75" customHeight="1" x14ac:dyDescent="0.3">
      <c r="A8" s="15" t="s">
        <v>17</v>
      </c>
      <c r="B8" s="15" t="s">
        <v>63</v>
      </c>
      <c r="C8" s="15" t="s">
        <v>64</v>
      </c>
      <c r="D8" s="15" t="s">
        <v>65</v>
      </c>
      <c r="E8" s="16" t="s">
        <v>46</v>
      </c>
      <c r="F8" s="17" t="s">
        <v>19</v>
      </c>
      <c r="G8" s="18"/>
      <c r="H8" s="15" t="s">
        <v>66</v>
      </c>
    </row>
    <row r="9" spans="1:8" ht="21.75" customHeight="1" x14ac:dyDescent="0.3">
      <c r="A9" s="15" t="s">
        <v>17</v>
      </c>
      <c r="B9" s="15" t="s">
        <v>34</v>
      </c>
      <c r="C9" s="15" t="s">
        <v>67</v>
      </c>
      <c r="D9" s="15" t="s">
        <v>68</v>
      </c>
      <c r="E9" s="15" t="s">
        <v>69</v>
      </c>
      <c r="F9" s="17" t="s">
        <v>19</v>
      </c>
      <c r="G9" s="18"/>
      <c r="H9" s="15" t="s">
        <v>70</v>
      </c>
    </row>
    <row r="10" spans="1:8" ht="21.75" customHeight="1" x14ac:dyDescent="0.3">
      <c r="A10" s="15" t="s">
        <v>21</v>
      </c>
      <c r="B10" s="15" t="s">
        <v>71</v>
      </c>
      <c r="C10" s="15" t="s">
        <v>72</v>
      </c>
      <c r="D10" s="15" t="s">
        <v>73</v>
      </c>
      <c r="E10" s="16" t="s">
        <v>46</v>
      </c>
      <c r="F10" s="17" t="s">
        <v>19</v>
      </c>
      <c r="G10" s="18"/>
      <c r="H10" s="15"/>
    </row>
    <row r="11" spans="1:8" ht="21.75" customHeight="1" x14ac:dyDescent="0.3">
      <c r="A11" s="15" t="s">
        <v>21</v>
      </c>
      <c r="B11" s="15" t="s">
        <v>71</v>
      </c>
      <c r="C11" s="15" t="s">
        <v>74</v>
      </c>
      <c r="D11" s="15" t="s">
        <v>75</v>
      </c>
      <c r="E11" s="16" t="s">
        <v>46</v>
      </c>
      <c r="F11" s="17" t="s">
        <v>19</v>
      </c>
      <c r="G11" s="18"/>
      <c r="H11" s="15"/>
    </row>
    <row r="12" spans="1:8" ht="21.75" customHeight="1" x14ac:dyDescent="0.3">
      <c r="A12" s="15" t="s">
        <v>21</v>
      </c>
      <c r="B12" s="15" t="s">
        <v>71</v>
      </c>
      <c r="C12" s="15" t="s">
        <v>76</v>
      </c>
      <c r="D12" s="15" t="s">
        <v>77</v>
      </c>
      <c r="E12" s="16" t="s">
        <v>46</v>
      </c>
      <c r="F12" s="17" t="s">
        <v>19</v>
      </c>
      <c r="G12" s="18"/>
      <c r="H12" s="15" t="s">
        <v>78</v>
      </c>
    </row>
    <row r="13" spans="1:8" ht="21.75" customHeight="1" x14ac:dyDescent="0.3">
      <c r="A13" s="15" t="s">
        <v>21</v>
      </c>
      <c r="B13" s="15" t="s">
        <v>71</v>
      </c>
      <c r="C13" s="15" t="s">
        <v>79</v>
      </c>
      <c r="D13" s="15" t="s">
        <v>80</v>
      </c>
      <c r="E13" s="16" t="s">
        <v>46</v>
      </c>
      <c r="F13" s="17" t="s">
        <v>19</v>
      </c>
      <c r="G13" s="18"/>
      <c r="H13" s="15"/>
    </row>
    <row r="14" spans="1:8" ht="21.75" customHeight="1" x14ac:dyDescent="0.3">
      <c r="A14" s="15" t="s">
        <v>21</v>
      </c>
      <c r="B14" s="15" t="s">
        <v>81</v>
      </c>
      <c r="C14" s="15" t="s">
        <v>82</v>
      </c>
      <c r="D14" s="15" t="s">
        <v>83</v>
      </c>
      <c r="E14" s="16" t="s">
        <v>46</v>
      </c>
      <c r="F14" s="17" t="s">
        <v>19</v>
      </c>
      <c r="G14" s="18"/>
      <c r="H14" s="15" t="s">
        <v>84</v>
      </c>
    </row>
    <row r="15" spans="1:8" ht="21.75" customHeight="1" x14ac:dyDescent="0.3">
      <c r="A15" s="15" t="s">
        <v>21</v>
      </c>
      <c r="B15" s="15" t="s">
        <v>85</v>
      </c>
      <c r="C15" s="15" t="s">
        <v>86</v>
      </c>
      <c r="D15" s="15" t="s">
        <v>87</v>
      </c>
      <c r="E15" s="16" t="s">
        <v>46</v>
      </c>
      <c r="F15" s="17" t="s">
        <v>19</v>
      </c>
      <c r="G15" s="18"/>
      <c r="H15" s="15"/>
    </row>
    <row r="16" spans="1:8" ht="15" customHeight="1" x14ac:dyDescent="0.3">
      <c r="A16" s="15" t="s">
        <v>21</v>
      </c>
      <c r="B16" s="15" t="s">
        <v>85</v>
      </c>
      <c r="C16" s="15" t="s">
        <v>88</v>
      </c>
      <c r="D16" s="15" t="s">
        <v>89</v>
      </c>
      <c r="E16" s="16" t="s">
        <v>46</v>
      </c>
      <c r="F16" s="17" t="s">
        <v>19</v>
      </c>
      <c r="G16" s="18"/>
      <c r="H16" s="15"/>
    </row>
    <row r="17" spans="1:8" ht="21.75" customHeight="1" x14ac:dyDescent="0.3">
      <c r="A17" s="15" t="s">
        <v>21</v>
      </c>
      <c r="B17" s="15" t="s">
        <v>90</v>
      </c>
      <c r="C17" s="15" t="s">
        <v>91</v>
      </c>
      <c r="D17" s="15" t="s">
        <v>92</v>
      </c>
      <c r="E17" s="16" t="s">
        <v>46</v>
      </c>
      <c r="F17" s="17" t="s">
        <v>19</v>
      </c>
      <c r="G17" s="18"/>
      <c r="H17" s="15" t="s">
        <v>93</v>
      </c>
    </row>
    <row r="18" spans="1:8" ht="15" customHeight="1" x14ac:dyDescent="0.3">
      <c r="A18" s="15" t="s">
        <v>21</v>
      </c>
      <c r="B18" s="15" t="s">
        <v>34</v>
      </c>
      <c r="C18" s="15" t="s">
        <v>94</v>
      </c>
      <c r="D18" s="15" t="s">
        <v>95</v>
      </c>
      <c r="E18" s="15" t="s">
        <v>69</v>
      </c>
      <c r="F18" s="19" t="s">
        <v>96</v>
      </c>
      <c r="G18" s="18"/>
      <c r="H18" s="15" t="s">
        <v>97</v>
      </c>
    </row>
    <row r="19" spans="1:8" ht="15" customHeight="1" x14ac:dyDescent="0.3">
      <c r="A19" s="15" t="s">
        <v>21</v>
      </c>
      <c r="B19" s="15" t="s">
        <v>34</v>
      </c>
      <c r="C19" s="15" t="s">
        <v>98</v>
      </c>
      <c r="D19" s="15" t="s">
        <v>99</v>
      </c>
      <c r="E19" s="15" t="s">
        <v>69</v>
      </c>
      <c r="F19" s="19" t="s">
        <v>96</v>
      </c>
      <c r="G19" s="18"/>
      <c r="H19" s="15"/>
    </row>
    <row r="20" spans="1:8" ht="21.75" customHeight="1" x14ac:dyDescent="0.3">
      <c r="A20" s="15" t="s">
        <v>24</v>
      </c>
      <c r="B20" s="15" t="s">
        <v>100</v>
      </c>
      <c r="C20" s="15" t="s">
        <v>101</v>
      </c>
      <c r="D20" s="15" t="s">
        <v>102</v>
      </c>
      <c r="E20" s="16" t="s">
        <v>46</v>
      </c>
      <c r="F20" s="17" t="s">
        <v>19</v>
      </c>
      <c r="G20" s="18"/>
      <c r="H20" s="15"/>
    </row>
    <row r="21" spans="1:8" ht="21.75" customHeight="1" x14ac:dyDescent="0.3">
      <c r="A21" s="15" t="s">
        <v>24</v>
      </c>
      <c r="B21" s="15" t="s">
        <v>100</v>
      </c>
      <c r="C21" s="15" t="s">
        <v>103</v>
      </c>
      <c r="D21" s="15" t="s">
        <v>104</v>
      </c>
      <c r="E21" s="16" t="s">
        <v>46</v>
      </c>
      <c r="F21" s="17" t="s">
        <v>19</v>
      </c>
      <c r="G21" s="18"/>
      <c r="H21" s="15"/>
    </row>
    <row r="22" spans="1:8" ht="21.75" customHeight="1" x14ac:dyDescent="0.3">
      <c r="A22" s="15" t="s">
        <v>24</v>
      </c>
      <c r="B22" s="15" t="s">
        <v>100</v>
      </c>
      <c r="C22" s="15" t="s">
        <v>105</v>
      </c>
      <c r="D22" s="15" t="s">
        <v>106</v>
      </c>
      <c r="E22" s="16" t="s">
        <v>46</v>
      </c>
      <c r="F22" s="17" t="s">
        <v>19</v>
      </c>
      <c r="G22" s="18"/>
      <c r="H22" s="15"/>
    </row>
    <row r="23" spans="1:8" ht="15" customHeight="1" x14ac:dyDescent="0.3">
      <c r="A23" s="15" t="s">
        <v>24</v>
      </c>
      <c r="B23" s="15" t="s">
        <v>100</v>
      </c>
      <c r="C23" s="15" t="s">
        <v>107</v>
      </c>
      <c r="D23" s="15" t="s">
        <v>108</v>
      </c>
      <c r="E23" s="16" t="s">
        <v>46</v>
      </c>
      <c r="F23" s="17" t="s">
        <v>19</v>
      </c>
      <c r="G23" s="18"/>
      <c r="H23" s="15"/>
    </row>
    <row r="24" spans="1:8" ht="21.75" customHeight="1" x14ac:dyDescent="0.3">
      <c r="A24" s="15" t="s">
        <v>24</v>
      </c>
      <c r="B24" s="15" t="s">
        <v>109</v>
      </c>
      <c r="C24" s="15" t="s">
        <v>110</v>
      </c>
      <c r="D24" s="15" t="s">
        <v>111</v>
      </c>
      <c r="E24" s="16" t="s">
        <v>46</v>
      </c>
      <c r="F24" s="17" t="s">
        <v>19</v>
      </c>
      <c r="G24" s="18"/>
      <c r="H24" s="15"/>
    </row>
    <row r="25" spans="1:8" ht="21.75" customHeight="1" x14ac:dyDescent="0.3">
      <c r="A25" s="15" t="s">
        <v>24</v>
      </c>
      <c r="B25" s="15" t="s">
        <v>109</v>
      </c>
      <c r="C25" s="15" t="s">
        <v>112</v>
      </c>
      <c r="D25" s="15" t="s">
        <v>113</v>
      </c>
      <c r="E25" s="16" t="s">
        <v>46</v>
      </c>
      <c r="F25" s="17" t="s">
        <v>19</v>
      </c>
      <c r="G25" s="18"/>
      <c r="H25" s="15"/>
    </row>
    <row r="26" spans="1:8" ht="21.75" customHeight="1" x14ac:dyDescent="0.3">
      <c r="A26" s="15" t="s">
        <v>24</v>
      </c>
      <c r="B26" s="15" t="s">
        <v>109</v>
      </c>
      <c r="C26" s="15" t="s">
        <v>114</v>
      </c>
      <c r="D26" s="15" t="s">
        <v>115</v>
      </c>
      <c r="E26" s="16" t="s">
        <v>46</v>
      </c>
      <c r="F26" s="17" t="s">
        <v>19</v>
      </c>
      <c r="G26" s="18"/>
      <c r="H26" s="15"/>
    </row>
    <row r="27" spans="1:8" ht="21.75" customHeight="1" x14ac:dyDescent="0.3">
      <c r="A27" s="15" t="s">
        <v>24</v>
      </c>
      <c r="B27" s="15" t="s">
        <v>90</v>
      </c>
      <c r="C27" s="15" t="s">
        <v>116</v>
      </c>
      <c r="D27" s="15" t="s">
        <v>117</v>
      </c>
      <c r="E27" s="16" t="s">
        <v>46</v>
      </c>
      <c r="F27" s="17" t="s">
        <v>19</v>
      </c>
      <c r="G27" s="18"/>
      <c r="H27" s="15" t="s">
        <v>118</v>
      </c>
    </row>
    <row r="28" spans="1:8" ht="21.75" customHeight="1" x14ac:dyDescent="0.3">
      <c r="A28" s="15" t="s">
        <v>24</v>
      </c>
      <c r="B28" s="15" t="s">
        <v>34</v>
      </c>
      <c r="C28" s="15" t="s">
        <v>119</v>
      </c>
      <c r="D28" s="15" t="s">
        <v>120</v>
      </c>
      <c r="E28" s="15" t="s">
        <v>69</v>
      </c>
      <c r="F28" s="19" t="s">
        <v>96</v>
      </c>
      <c r="G28" s="18"/>
      <c r="H28" s="15"/>
    </row>
    <row r="29" spans="1:8" ht="15" customHeight="1" x14ac:dyDescent="0.3">
      <c r="A29" s="15" t="s">
        <v>24</v>
      </c>
      <c r="B29" s="15" t="s">
        <v>34</v>
      </c>
      <c r="C29" s="15" t="s">
        <v>121</v>
      </c>
      <c r="D29" s="15" t="s">
        <v>122</v>
      </c>
      <c r="E29" s="15" t="s">
        <v>69</v>
      </c>
      <c r="F29" s="19" t="s">
        <v>96</v>
      </c>
      <c r="G29" s="18"/>
      <c r="H29" s="15"/>
    </row>
    <row r="30" spans="1:8" ht="21.75" customHeight="1" x14ac:dyDescent="0.3">
      <c r="A30" s="15" t="s">
        <v>27</v>
      </c>
      <c r="B30" s="15" t="s">
        <v>123</v>
      </c>
      <c r="C30" s="15" t="s">
        <v>124</v>
      </c>
      <c r="D30" s="15" t="s">
        <v>125</v>
      </c>
      <c r="E30" s="16" t="s">
        <v>46</v>
      </c>
      <c r="F30" s="17" t="s">
        <v>19</v>
      </c>
      <c r="G30" s="18"/>
      <c r="H30" s="15"/>
    </row>
    <row r="31" spans="1:8" ht="21.75" customHeight="1" x14ac:dyDescent="0.3">
      <c r="A31" s="15" t="s">
        <v>27</v>
      </c>
      <c r="B31" s="15" t="s">
        <v>123</v>
      </c>
      <c r="C31" s="15" t="s">
        <v>126</v>
      </c>
      <c r="D31" s="15" t="s">
        <v>127</v>
      </c>
      <c r="E31" s="16" t="s">
        <v>46</v>
      </c>
      <c r="F31" s="17" t="s">
        <v>19</v>
      </c>
      <c r="G31" s="18"/>
      <c r="H31" s="15"/>
    </row>
    <row r="32" spans="1:8" ht="21.75" customHeight="1" x14ac:dyDescent="0.3">
      <c r="A32" s="15" t="s">
        <v>27</v>
      </c>
      <c r="B32" s="15" t="s">
        <v>123</v>
      </c>
      <c r="C32" s="15" t="s">
        <v>128</v>
      </c>
      <c r="D32" s="15" t="s">
        <v>129</v>
      </c>
      <c r="E32" s="16" t="s">
        <v>46</v>
      </c>
      <c r="F32" s="17" t="s">
        <v>19</v>
      </c>
      <c r="G32" s="18"/>
      <c r="H32" s="15"/>
    </row>
    <row r="33" spans="1:8" ht="21.75" customHeight="1" x14ac:dyDescent="0.3">
      <c r="A33" s="15" t="s">
        <v>27</v>
      </c>
      <c r="B33" s="15" t="s">
        <v>123</v>
      </c>
      <c r="C33" s="15" t="s">
        <v>130</v>
      </c>
      <c r="D33" s="15" t="s">
        <v>131</v>
      </c>
      <c r="E33" s="16" t="s">
        <v>46</v>
      </c>
      <c r="F33" s="17" t="s">
        <v>19</v>
      </c>
      <c r="G33" s="18"/>
      <c r="H33" s="15" t="s">
        <v>132</v>
      </c>
    </row>
    <row r="34" spans="1:8" ht="21.75" customHeight="1" x14ac:dyDescent="0.3">
      <c r="A34" s="15" t="s">
        <v>27</v>
      </c>
      <c r="B34" s="15" t="s">
        <v>123</v>
      </c>
      <c r="C34" s="15" t="s">
        <v>133</v>
      </c>
      <c r="D34" s="15" t="s">
        <v>134</v>
      </c>
      <c r="E34" s="16" t="s">
        <v>46</v>
      </c>
      <c r="F34" s="17" t="s">
        <v>19</v>
      </c>
      <c r="G34" s="18"/>
      <c r="H34" s="15"/>
    </row>
    <row r="35" spans="1:8" ht="21.75" customHeight="1" x14ac:dyDescent="0.3">
      <c r="A35" s="15" t="s">
        <v>27</v>
      </c>
      <c r="B35" s="15" t="s">
        <v>123</v>
      </c>
      <c r="C35" s="15" t="s">
        <v>135</v>
      </c>
      <c r="D35" s="15" t="s">
        <v>136</v>
      </c>
      <c r="E35" s="16" t="s">
        <v>46</v>
      </c>
      <c r="F35" s="17" t="s">
        <v>19</v>
      </c>
      <c r="G35" s="18"/>
      <c r="H35" s="15" t="s">
        <v>137</v>
      </c>
    </row>
    <row r="36" spans="1:8" ht="21.75" customHeight="1" x14ac:dyDescent="0.3">
      <c r="A36" s="15" t="s">
        <v>27</v>
      </c>
      <c r="B36" s="15" t="s">
        <v>123</v>
      </c>
      <c r="C36" s="15" t="s">
        <v>138</v>
      </c>
      <c r="D36" s="15" t="s">
        <v>139</v>
      </c>
      <c r="E36" s="16" t="s">
        <v>46</v>
      </c>
      <c r="F36" s="17" t="s">
        <v>19</v>
      </c>
      <c r="G36" s="18"/>
      <c r="H36" s="15" t="s">
        <v>140</v>
      </c>
    </row>
    <row r="37" spans="1:8" ht="21.75" customHeight="1" x14ac:dyDescent="0.3">
      <c r="A37" s="15" t="s">
        <v>27</v>
      </c>
      <c r="B37" s="15" t="s">
        <v>123</v>
      </c>
      <c r="C37" s="15" t="s">
        <v>141</v>
      </c>
      <c r="D37" s="15" t="s">
        <v>142</v>
      </c>
      <c r="E37" s="16" t="s">
        <v>46</v>
      </c>
      <c r="F37" s="17" t="s">
        <v>19</v>
      </c>
      <c r="G37" s="18"/>
      <c r="H37" s="15"/>
    </row>
    <row r="38" spans="1:8" ht="15" customHeight="1" x14ac:dyDescent="0.3">
      <c r="A38" s="15" t="s">
        <v>27</v>
      </c>
      <c r="B38" s="15" t="s">
        <v>123</v>
      </c>
      <c r="C38" s="15" t="s">
        <v>143</v>
      </c>
      <c r="D38" s="15" t="s">
        <v>144</v>
      </c>
      <c r="E38" s="16" t="s">
        <v>46</v>
      </c>
      <c r="F38" s="17" t="s">
        <v>19</v>
      </c>
      <c r="G38" s="18"/>
      <c r="H38" s="15" t="s">
        <v>145</v>
      </c>
    </row>
    <row r="39" spans="1:8" ht="21.75" customHeight="1" x14ac:dyDescent="0.3">
      <c r="A39" s="15" t="s">
        <v>27</v>
      </c>
      <c r="B39" s="15" t="s">
        <v>81</v>
      </c>
      <c r="C39" s="15" t="s">
        <v>146</v>
      </c>
      <c r="D39" s="15" t="s">
        <v>147</v>
      </c>
      <c r="E39" s="16" t="s">
        <v>46</v>
      </c>
      <c r="F39" s="17" t="s">
        <v>19</v>
      </c>
      <c r="G39" s="18"/>
      <c r="H39" s="15"/>
    </row>
    <row r="40" spans="1:8" ht="21.75" customHeight="1" x14ac:dyDescent="0.3">
      <c r="A40" s="15" t="s">
        <v>27</v>
      </c>
      <c r="B40" s="15" t="s">
        <v>34</v>
      </c>
      <c r="C40" s="15" t="s">
        <v>148</v>
      </c>
      <c r="D40" s="15" t="s">
        <v>149</v>
      </c>
      <c r="E40" s="15" t="s">
        <v>69</v>
      </c>
      <c r="F40" s="19" t="s">
        <v>96</v>
      </c>
      <c r="G40" s="18"/>
      <c r="H40" s="15"/>
    </row>
    <row r="41" spans="1:8" ht="21.75" customHeight="1" x14ac:dyDescent="0.3">
      <c r="A41" s="15" t="s">
        <v>27</v>
      </c>
      <c r="B41" s="15" t="s">
        <v>34</v>
      </c>
      <c r="C41" s="15" t="s">
        <v>150</v>
      </c>
      <c r="D41" s="15" t="s">
        <v>151</v>
      </c>
      <c r="E41" s="15" t="s">
        <v>69</v>
      </c>
      <c r="F41" s="17" t="s">
        <v>19</v>
      </c>
      <c r="G41" s="18"/>
      <c r="H41" s="15" t="s">
        <v>152</v>
      </c>
    </row>
    <row r="42" spans="1:8" ht="21.75" customHeight="1" x14ac:dyDescent="0.3">
      <c r="A42" s="15" t="s">
        <v>30</v>
      </c>
      <c r="B42" s="15" t="s">
        <v>153</v>
      </c>
      <c r="C42" s="15" t="s">
        <v>154</v>
      </c>
      <c r="D42" s="15" t="s">
        <v>155</v>
      </c>
      <c r="E42" s="16" t="s">
        <v>46</v>
      </c>
      <c r="F42" s="17" t="s">
        <v>19</v>
      </c>
      <c r="G42" s="18"/>
      <c r="H42" s="15" t="s">
        <v>156</v>
      </c>
    </row>
    <row r="43" spans="1:8" ht="21.75" customHeight="1" x14ac:dyDescent="0.3">
      <c r="A43" s="15" t="s">
        <v>30</v>
      </c>
      <c r="B43" s="15" t="s">
        <v>153</v>
      </c>
      <c r="C43" s="15" t="s">
        <v>157</v>
      </c>
      <c r="D43" s="15" t="s">
        <v>158</v>
      </c>
      <c r="E43" s="16" t="s">
        <v>46</v>
      </c>
      <c r="F43" s="17" t="s">
        <v>19</v>
      </c>
      <c r="G43" s="18"/>
      <c r="H43" s="15" t="s">
        <v>159</v>
      </c>
    </row>
    <row r="44" spans="1:8" ht="21.75" customHeight="1" x14ac:dyDescent="0.3">
      <c r="A44" s="15" t="s">
        <v>30</v>
      </c>
      <c r="B44" s="15" t="s">
        <v>160</v>
      </c>
      <c r="C44" s="15" t="s">
        <v>161</v>
      </c>
      <c r="D44" s="15" t="s">
        <v>162</v>
      </c>
      <c r="E44" s="16" t="s">
        <v>46</v>
      </c>
      <c r="F44" s="17" t="s">
        <v>19</v>
      </c>
      <c r="G44" s="18"/>
      <c r="H44" s="15" t="s">
        <v>163</v>
      </c>
    </row>
    <row r="46" spans="1:8" ht="15" customHeight="1" x14ac:dyDescent="0.3">
      <c r="A46" s="3" t="s">
        <v>164</v>
      </c>
      <c r="B46" s="3"/>
      <c r="C46" s="3"/>
      <c r="D46" s="3"/>
      <c r="E46" s="3"/>
      <c r="F46" s="3"/>
      <c r="G46" s="20">
        <f>SUMIF(F2:F44,"Hoàn thành",G2:G44)</f>
        <v>0</v>
      </c>
    </row>
    <row r="47" spans="1:8" ht="15" customHeight="1" x14ac:dyDescent="0.3">
      <c r="A47" s="3" t="s">
        <v>165</v>
      </c>
      <c r="B47" s="3"/>
      <c r="C47" s="3"/>
      <c r="D47" s="3"/>
      <c r="E47" s="3"/>
      <c r="F47" s="3"/>
      <c r="G47" s="20">
        <f>SUM(G2:G44)</f>
        <v>0</v>
      </c>
    </row>
    <row r="49" spans="1:5" ht="15" customHeight="1" x14ac:dyDescent="0.3">
      <c r="A49" s="21" t="s">
        <v>166</v>
      </c>
    </row>
    <row r="50" spans="1:5" ht="15" customHeight="1" x14ac:dyDescent="0.3">
      <c r="A50" s="22"/>
      <c r="B50" s="2" t="s">
        <v>167</v>
      </c>
      <c r="C50" s="2"/>
      <c r="D50" s="2"/>
      <c r="E50" s="2"/>
    </row>
    <row r="51" spans="1:5" ht="15" customHeight="1" x14ac:dyDescent="0.3">
      <c r="A51" s="23"/>
      <c r="B51" s="2" t="s">
        <v>168</v>
      </c>
      <c r="C51" s="2"/>
      <c r="D51" s="2"/>
      <c r="E51" s="2"/>
    </row>
    <row r="52" spans="1:5" ht="15" customHeight="1" x14ac:dyDescent="0.3">
      <c r="A52" s="18"/>
      <c r="B52" s="2" t="s">
        <v>169</v>
      </c>
      <c r="C52" s="2"/>
      <c r="D52" s="2"/>
      <c r="E52" s="2"/>
    </row>
    <row r="53" spans="1:5" ht="15" customHeight="1" x14ac:dyDescent="0.3">
      <c r="A53" s="24"/>
      <c r="B53" s="2" t="s">
        <v>170</v>
      </c>
      <c r="C53" s="2"/>
      <c r="D53" s="2"/>
      <c r="E53" s="2"/>
    </row>
  </sheetData>
  <mergeCells count="6">
    <mergeCell ref="B53:E53"/>
    <mergeCell ref="A46:F46"/>
    <mergeCell ref="A47:F47"/>
    <mergeCell ref="B50:E50"/>
    <mergeCell ref="B51:E51"/>
    <mergeCell ref="B52:E5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55"/>
  <sheetViews>
    <sheetView zoomScaleNormal="100" workbookViewId="0">
      <pane xSplit="1" ySplit="5" topLeftCell="B6" activePane="bottomRight" state="frozen"/>
      <selection pane="topRight" activeCell="B1" sqref="B1"/>
      <selection pane="bottomLeft" activeCell="A6" sqref="A6"/>
      <selection pane="bottomRight"/>
    </sheetView>
  </sheetViews>
  <sheetFormatPr defaultColWidth="8.6640625" defaultRowHeight="14.4" x14ac:dyDescent="0.3"/>
  <cols>
    <col min="1" max="1" width="3" customWidth="1"/>
    <col min="2" max="2" width="16" customWidth="1"/>
    <col min="3" max="3" width="40" customWidth="1"/>
    <col min="4" max="6" width="45" customWidth="1"/>
  </cols>
  <sheetData>
    <row r="1" spans="2:6" ht="17.399999999999999" x14ac:dyDescent="0.3">
      <c r="B1" s="25" t="s">
        <v>171</v>
      </c>
    </row>
    <row r="2" spans="2:6" x14ac:dyDescent="0.3">
      <c r="B2" s="5" t="s">
        <v>172</v>
      </c>
    </row>
    <row r="4" spans="2:6" ht="15.6" x14ac:dyDescent="0.3">
      <c r="B4" s="9" t="s">
        <v>173</v>
      </c>
    </row>
    <row r="5" spans="2:6" x14ac:dyDescent="0.3">
      <c r="B5" s="26" t="s">
        <v>13</v>
      </c>
      <c r="C5" s="26" t="s">
        <v>174</v>
      </c>
      <c r="D5" s="26" t="s">
        <v>175</v>
      </c>
      <c r="E5" s="26" t="s">
        <v>176</v>
      </c>
      <c r="F5" s="26" t="s">
        <v>177</v>
      </c>
    </row>
    <row r="6" spans="2:6" ht="26.4" x14ac:dyDescent="0.3">
      <c r="B6" s="27" t="s">
        <v>17</v>
      </c>
      <c r="C6" s="28">
        <v>1</v>
      </c>
      <c r="D6" s="29" t="s">
        <v>178</v>
      </c>
      <c r="E6" s="29" t="s">
        <v>179</v>
      </c>
      <c r="F6" s="29" t="s">
        <v>180</v>
      </c>
    </row>
    <row r="7" spans="2:6" ht="15" customHeight="1" x14ac:dyDescent="0.3">
      <c r="B7" s="1" t="s">
        <v>21</v>
      </c>
      <c r="C7" s="28">
        <v>1</v>
      </c>
      <c r="D7" s="29" t="s">
        <v>181</v>
      </c>
      <c r="E7" s="29" t="s">
        <v>182</v>
      </c>
      <c r="F7" s="29" t="s">
        <v>183</v>
      </c>
    </row>
    <row r="8" spans="2:6" x14ac:dyDescent="0.3">
      <c r="B8" s="1"/>
      <c r="C8" s="28">
        <v>2</v>
      </c>
      <c r="D8" s="29" t="s">
        <v>181</v>
      </c>
      <c r="E8" s="29" t="s">
        <v>184</v>
      </c>
      <c r="F8" s="29" t="s">
        <v>185</v>
      </c>
    </row>
    <row r="9" spans="2:6" ht="26.4" x14ac:dyDescent="0.3">
      <c r="B9" s="1"/>
      <c r="C9" s="28">
        <v>3</v>
      </c>
      <c r="D9" s="29" t="s">
        <v>186</v>
      </c>
      <c r="E9" s="29" t="s">
        <v>187</v>
      </c>
      <c r="F9" s="29" t="s">
        <v>188</v>
      </c>
    </row>
    <row r="10" spans="2:6" x14ac:dyDescent="0.3">
      <c r="B10" s="1"/>
      <c r="C10" s="28">
        <v>4</v>
      </c>
      <c r="D10" s="29" t="s">
        <v>186</v>
      </c>
      <c r="E10" s="29" t="s">
        <v>189</v>
      </c>
      <c r="F10" s="29" t="s">
        <v>190</v>
      </c>
    </row>
    <row r="11" spans="2:6" x14ac:dyDescent="0.3">
      <c r="B11" s="1"/>
      <c r="C11" s="28">
        <v>5</v>
      </c>
      <c r="D11" s="29" t="s">
        <v>186</v>
      </c>
      <c r="E11" s="29" t="s">
        <v>191</v>
      </c>
      <c r="F11" s="29" t="s">
        <v>192</v>
      </c>
    </row>
    <row r="12" spans="2:6" ht="26.4" x14ac:dyDescent="0.3">
      <c r="B12" s="1"/>
      <c r="C12" s="28">
        <v>6</v>
      </c>
      <c r="D12" s="29" t="s">
        <v>193</v>
      </c>
      <c r="E12" s="29" t="s">
        <v>194</v>
      </c>
      <c r="F12" s="29" t="s">
        <v>195</v>
      </c>
    </row>
    <row r="13" spans="2:6" x14ac:dyDescent="0.3">
      <c r="B13" s="1"/>
      <c r="C13" s="28">
        <v>7</v>
      </c>
      <c r="D13" s="29" t="s">
        <v>196</v>
      </c>
      <c r="E13" s="29" t="s">
        <v>197</v>
      </c>
      <c r="F13" s="29" t="s">
        <v>198</v>
      </c>
    </row>
    <row r="14" spans="2:6" ht="26.4" x14ac:dyDescent="0.3">
      <c r="B14" s="1"/>
      <c r="C14" s="28">
        <v>8</v>
      </c>
      <c r="D14" s="29" t="s">
        <v>199</v>
      </c>
      <c r="E14" s="29" t="s">
        <v>200</v>
      </c>
      <c r="F14" s="29" t="s">
        <v>201</v>
      </c>
    </row>
    <row r="15" spans="2:6" ht="15" customHeight="1" x14ac:dyDescent="0.3">
      <c r="B15" s="1" t="s">
        <v>24</v>
      </c>
      <c r="C15" s="28">
        <v>1</v>
      </c>
      <c r="D15" s="29" t="s">
        <v>202</v>
      </c>
      <c r="E15" s="29" t="s">
        <v>203</v>
      </c>
      <c r="F15" s="29" t="s">
        <v>204</v>
      </c>
    </row>
    <row r="16" spans="2:6" ht="26.4" x14ac:dyDescent="0.3">
      <c r="B16" s="1"/>
      <c r="C16" s="28">
        <v>2</v>
      </c>
      <c r="D16" s="29" t="s">
        <v>202</v>
      </c>
      <c r="E16" s="29" t="s">
        <v>205</v>
      </c>
      <c r="F16" s="29" t="s">
        <v>206</v>
      </c>
    </row>
    <row r="17" spans="2:6" x14ac:dyDescent="0.3">
      <c r="B17" s="1"/>
      <c r="C17" s="28">
        <v>3</v>
      </c>
      <c r="D17" s="29" t="s">
        <v>207</v>
      </c>
      <c r="E17" s="29" t="s">
        <v>208</v>
      </c>
      <c r="F17" s="29" t="s">
        <v>209</v>
      </c>
    </row>
    <row r="18" spans="2:6" x14ac:dyDescent="0.3">
      <c r="B18" s="1"/>
      <c r="C18" s="28">
        <v>4</v>
      </c>
      <c r="D18" s="29" t="s">
        <v>210</v>
      </c>
      <c r="E18" s="29" t="s">
        <v>211</v>
      </c>
      <c r="F18" s="29" t="s">
        <v>212</v>
      </c>
    </row>
    <row r="19" spans="2:6" x14ac:dyDescent="0.3">
      <c r="B19" s="1"/>
      <c r="C19" s="28">
        <v>5</v>
      </c>
      <c r="D19" s="29" t="s">
        <v>210</v>
      </c>
      <c r="E19" s="29" t="s">
        <v>213</v>
      </c>
      <c r="F19" s="29" t="s">
        <v>214</v>
      </c>
    </row>
    <row r="20" spans="2:6" x14ac:dyDescent="0.3">
      <c r="B20" s="1"/>
      <c r="C20" s="28">
        <v>6</v>
      </c>
      <c r="D20" s="29" t="s">
        <v>215</v>
      </c>
      <c r="E20" s="29" t="s">
        <v>216</v>
      </c>
      <c r="F20" s="29" t="s">
        <v>217</v>
      </c>
    </row>
    <row r="21" spans="2:6" x14ac:dyDescent="0.3">
      <c r="B21" s="1"/>
      <c r="C21" s="28">
        <v>7</v>
      </c>
      <c r="D21" s="29" t="s">
        <v>215</v>
      </c>
      <c r="E21" s="29" t="s">
        <v>218</v>
      </c>
      <c r="F21" s="29" t="s">
        <v>219</v>
      </c>
    </row>
    <row r="22" spans="2:6" ht="26.4" x14ac:dyDescent="0.3">
      <c r="B22" s="1"/>
      <c r="C22" s="28">
        <v>8</v>
      </c>
      <c r="D22" s="29" t="s">
        <v>220</v>
      </c>
      <c r="E22" s="29" t="s">
        <v>221</v>
      </c>
      <c r="F22" s="29" t="s">
        <v>222</v>
      </c>
    </row>
    <row r="23" spans="2:6" ht="26.4" x14ac:dyDescent="0.3">
      <c r="B23" s="1"/>
      <c r="C23" s="28">
        <v>9</v>
      </c>
      <c r="D23" s="29" t="s">
        <v>223</v>
      </c>
      <c r="E23" s="29" t="s">
        <v>224</v>
      </c>
      <c r="F23" s="29" t="s">
        <v>225</v>
      </c>
    </row>
    <row r="24" spans="2:6" ht="26.4" x14ac:dyDescent="0.3">
      <c r="B24" s="1"/>
      <c r="C24" s="28">
        <v>10</v>
      </c>
      <c r="D24" s="29" t="s">
        <v>226</v>
      </c>
      <c r="E24" s="29" t="s">
        <v>227</v>
      </c>
      <c r="F24" s="29" t="s">
        <v>228</v>
      </c>
    </row>
    <row r="25" spans="2:6" x14ac:dyDescent="0.3">
      <c r="B25" s="1"/>
      <c r="C25" s="28">
        <v>11</v>
      </c>
      <c r="D25" s="29" t="s">
        <v>210</v>
      </c>
      <c r="E25" s="29" t="s">
        <v>229</v>
      </c>
      <c r="F25" s="29" t="s">
        <v>230</v>
      </c>
    </row>
    <row r="26" spans="2:6" ht="15" customHeight="1" x14ac:dyDescent="0.3">
      <c r="B26" s="1" t="s">
        <v>27</v>
      </c>
      <c r="C26" s="28">
        <v>1</v>
      </c>
      <c r="D26" s="29" t="s">
        <v>231</v>
      </c>
      <c r="E26" s="29" t="s">
        <v>232</v>
      </c>
      <c r="F26" s="29" t="s">
        <v>233</v>
      </c>
    </row>
    <row r="27" spans="2:6" x14ac:dyDescent="0.3">
      <c r="B27" s="1"/>
      <c r="C27" s="28">
        <v>2</v>
      </c>
      <c r="D27" s="29" t="s">
        <v>234</v>
      </c>
      <c r="E27" s="29" t="s">
        <v>235</v>
      </c>
      <c r="F27" s="29" t="s">
        <v>236</v>
      </c>
    </row>
    <row r="28" spans="2:6" ht="26.4" x14ac:dyDescent="0.3">
      <c r="B28" s="1"/>
      <c r="C28" s="28">
        <v>3</v>
      </c>
      <c r="D28" s="29" t="s">
        <v>234</v>
      </c>
      <c r="E28" s="29" t="s">
        <v>237</v>
      </c>
      <c r="F28" s="29" t="s">
        <v>238</v>
      </c>
    </row>
    <row r="29" spans="2:6" x14ac:dyDescent="0.3">
      <c r="B29" s="1"/>
      <c r="C29" s="28">
        <v>4</v>
      </c>
      <c r="D29" s="29" t="s">
        <v>234</v>
      </c>
      <c r="E29" s="29" t="s">
        <v>239</v>
      </c>
      <c r="F29" s="29" t="s">
        <v>240</v>
      </c>
    </row>
    <row r="30" spans="2:6" ht="26.4" x14ac:dyDescent="0.3">
      <c r="B30" s="1"/>
      <c r="C30" s="28">
        <v>5</v>
      </c>
      <c r="D30" s="29" t="s">
        <v>241</v>
      </c>
      <c r="E30" s="29" t="s">
        <v>242</v>
      </c>
      <c r="F30" s="29" t="s">
        <v>243</v>
      </c>
    </row>
    <row r="31" spans="2:6" ht="26.4" x14ac:dyDescent="0.3">
      <c r="B31" s="1"/>
      <c r="C31" s="28">
        <v>6</v>
      </c>
      <c r="D31" s="29" t="s">
        <v>244</v>
      </c>
      <c r="E31" s="29" t="s">
        <v>245</v>
      </c>
      <c r="F31" s="29" t="s">
        <v>246</v>
      </c>
    </row>
    <row r="32" spans="2:6" x14ac:dyDescent="0.3">
      <c r="B32" s="1"/>
      <c r="C32" s="28">
        <v>7</v>
      </c>
      <c r="D32" s="29" t="s">
        <v>247</v>
      </c>
      <c r="E32" s="29" t="s">
        <v>248</v>
      </c>
      <c r="F32" s="29" t="s">
        <v>219</v>
      </c>
    </row>
    <row r="33" spans="2:6" x14ac:dyDescent="0.3">
      <c r="B33" s="1"/>
      <c r="C33" s="28">
        <v>8</v>
      </c>
      <c r="D33" s="29" t="s">
        <v>247</v>
      </c>
      <c r="E33" s="29" t="s">
        <v>249</v>
      </c>
      <c r="F33" s="29" t="s">
        <v>250</v>
      </c>
    </row>
    <row r="34" spans="2:6" ht="26.4" x14ac:dyDescent="0.3">
      <c r="B34" s="1"/>
      <c r="C34" s="28">
        <v>9</v>
      </c>
      <c r="D34" s="29" t="s">
        <v>251</v>
      </c>
      <c r="E34" s="29" t="s">
        <v>252</v>
      </c>
      <c r="F34" s="29" t="s">
        <v>253</v>
      </c>
    </row>
    <row r="35" spans="2:6" x14ac:dyDescent="0.3">
      <c r="B35" s="1"/>
      <c r="C35" s="28">
        <v>10</v>
      </c>
      <c r="D35" s="29" t="s">
        <v>251</v>
      </c>
      <c r="E35" s="29" t="s">
        <v>254</v>
      </c>
      <c r="F35" s="29" t="s">
        <v>255</v>
      </c>
    </row>
    <row r="36" spans="2:6" ht="23.85" customHeight="1" x14ac:dyDescent="0.3">
      <c r="B36" s="1" t="s">
        <v>30</v>
      </c>
      <c r="C36" s="28">
        <v>1</v>
      </c>
      <c r="D36" s="29" t="s">
        <v>256</v>
      </c>
      <c r="E36" s="29" t="s">
        <v>257</v>
      </c>
      <c r="F36" s="29" t="s">
        <v>258</v>
      </c>
    </row>
    <row r="37" spans="2:6" ht="26.4" x14ac:dyDescent="0.3">
      <c r="B37" s="1"/>
      <c r="C37" s="28">
        <v>2</v>
      </c>
      <c r="D37" s="29" t="s">
        <v>259</v>
      </c>
      <c r="E37" s="29" t="s">
        <v>260</v>
      </c>
      <c r="F37" s="29" t="s">
        <v>261</v>
      </c>
    </row>
    <row r="38" spans="2:6" x14ac:dyDescent="0.3">
      <c r="B38" s="1"/>
      <c r="C38" s="28">
        <v>3</v>
      </c>
      <c r="D38" s="29" t="s">
        <v>262</v>
      </c>
      <c r="E38" s="29" t="s">
        <v>263</v>
      </c>
      <c r="F38" s="29" t="s">
        <v>264</v>
      </c>
    </row>
    <row r="39" spans="2:6" x14ac:dyDescent="0.3">
      <c r="B39" s="1"/>
      <c r="C39" s="28">
        <v>4</v>
      </c>
      <c r="D39" s="29" t="s">
        <v>262</v>
      </c>
      <c r="E39" s="29" t="s">
        <v>265</v>
      </c>
      <c r="F39" s="29" t="s">
        <v>266</v>
      </c>
    </row>
    <row r="40" spans="2:6" ht="26.4" x14ac:dyDescent="0.3">
      <c r="B40" s="1"/>
      <c r="C40" s="28">
        <v>5</v>
      </c>
      <c r="D40" s="29" t="s">
        <v>262</v>
      </c>
      <c r="E40" s="29" t="s">
        <v>267</v>
      </c>
      <c r="F40" s="29" t="s">
        <v>268</v>
      </c>
    </row>
    <row r="41" spans="2:6" x14ac:dyDescent="0.3">
      <c r="B41" s="1"/>
      <c r="C41" s="28">
        <v>6</v>
      </c>
      <c r="D41" s="29" t="s">
        <v>269</v>
      </c>
      <c r="E41" s="29" t="s">
        <v>270</v>
      </c>
      <c r="F41" s="29" t="s">
        <v>271</v>
      </c>
    </row>
    <row r="44" spans="2:6" ht="15.6" x14ac:dyDescent="0.3">
      <c r="B44" s="9" t="s">
        <v>272</v>
      </c>
    </row>
    <row r="45" spans="2:6" x14ac:dyDescent="0.3">
      <c r="B45" s="26" t="s">
        <v>13</v>
      </c>
      <c r="C45" s="26" t="s">
        <v>273</v>
      </c>
      <c r="D45" s="26" t="s">
        <v>274</v>
      </c>
    </row>
    <row r="46" spans="2:6" ht="66" x14ac:dyDescent="0.3">
      <c r="B46" s="29" t="s">
        <v>21</v>
      </c>
      <c r="C46" s="29" t="s">
        <v>275</v>
      </c>
      <c r="D46" s="29" t="s">
        <v>276</v>
      </c>
    </row>
    <row r="47" spans="2:6" ht="66" x14ac:dyDescent="0.3">
      <c r="B47" s="29" t="s">
        <v>24</v>
      </c>
      <c r="C47" s="29" t="s">
        <v>277</v>
      </c>
      <c r="D47" s="29" t="s">
        <v>278</v>
      </c>
    </row>
    <row r="48" spans="2:6" ht="39.6" x14ac:dyDescent="0.3">
      <c r="B48" s="29" t="s">
        <v>24</v>
      </c>
      <c r="C48" s="29" t="s">
        <v>279</v>
      </c>
      <c r="D48" s="29" t="s">
        <v>280</v>
      </c>
    </row>
    <row r="49" spans="2:4" ht="79.2" x14ac:dyDescent="0.3">
      <c r="B49" s="29" t="s">
        <v>24</v>
      </c>
      <c r="C49" s="29" t="s">
        <v>281</v>
      </c>
      <c r="D49" s="29" t="s">
        <v>282</v>
      </c>
    </row>
    <row r="50" spans="2:4" ht="66" x14ac:dyDescent="0.3">
      <c r="B50" s="29" t="s">
        <v>27</v>
      </c>
      <c r="C50" s="29" t="s">
        <v>283</v>
      </c>
      <c r="D50" s="29" t="s">
        <v>284</v>
      </c>
    </row>
    <row r="51" spans="2:4" ht="52.8" x14ac:dyDescent="0.3">
      <c r="B51" s="29" t="s">
        <v>27</v>
      </c>
      <c r="C51" s="29" t="s">
        <v>285</v>
      </c>
      <c r="D51" s="29" t="s">
        <v>286</v>
      </c>
    </row>
    <row r="52" spans="2:4" ht="79.2" x14ac:dyDescent="0.3">
      <c r="B52" s="29" t="s">
        <v>27</v>
      </c>
      <c r="C52" s="29" t="s">
        <v>287</v>
      </c>
      <c r="D52" s="29" t="s">
        <v>288</v>
      </c>
    </row>
    <row r="53" spans="2:4" ht="66" x14ac:dyDescent="0.3">
      <c r="B53" s="29" t="s">
        <v>30</v>
      </c>
      <c r="C53" s="29" t="s">
        <v>289</v>
      </c>
      <c r="D53" s="29" t="s">
        <v>290</v>
      </c>
    </row>
    <row r="54" spans="2:4" ht="79.2" x14ac:dyDescent="0.3">
      <c r="B54" s="29" t="s">
        <v>30</v>
      </c>
      <c r="C54" s="29" t="s">
        <v>291</v>
      </c>
      <c r="D54" s="29" t="s">
        <v>292</v>
      </c>
    </row>
    <row r="55" spans="2:4" ht="66" x14ac:dyDescent="0.3">
      <c r="B55" s="29" t="s">
        <v>30</v>
      </c>
      <c r="C55" s="29" t="s">
        <v>293</v>
      </c>
      <c r="D55" s="29" t="s">
        <v>294</v>
      </c>
    </row>
  </sheetData>
  <mergeCells count="4">
    <mergeCell ref="B7:B14"/>
    <mergeCell ref="B15:B25"/>
    <mergeCell ref="B26:B35"/>
    <mergeCell ref="B36:B4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Tổng quan</vt:lpstr>
      <vt:lpstr>Bảng công việc chi tiết</vt:lpstr>
      <vt:lpstr>Luồng nghiệp vụ &amp; Giải trình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Nguyen Van Thong D25TX</cp:lastModifiedBy>
  <cp:revision>0</cp:revision>
  <dcterms:created xsi:type="dcterms:W3CDTF">2026-08-26T07:34:27Z</dcterms:created>
  <dcterms:modified xsi:type="dcterms:W3CDTF">2026-08-26T08:46:06Z</dcterms:modified>
  <dc:language>en-US</dc:language>
</cp:coreProperties>
</file>