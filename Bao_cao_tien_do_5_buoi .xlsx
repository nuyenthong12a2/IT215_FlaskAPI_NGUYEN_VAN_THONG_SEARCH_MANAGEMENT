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_management\"/>
    </mc:Choice>
  </mc:AlternateContent>
  <xr:revisionPtr revIDLastSave="0" documentId="11_C9991E394ED0E2124D8AE90FB0E6008BB38BBD80" xr6:coauthVersionLast="47" xr6:coauthVersionMax="47" xr10:uidLastSave="{00000000-0000-0000-0000-000000000000}"/>
  <bookViews>
    <workbookView xWindow="-108" yWindow="-108" windowWidth="23256" windowHeight="12456" tabRatio="500" activeTab="1" xr2:uid="{00000000-000D-0000-FFFF-FFFF00000000}"/>
  </bookViews>
  <sheets>
    <sheet name="Tổng quan" sheetId="1" r:id="rId1"/>
    <sheet name="Bảng công việc chi tiết" sheetId="2" r:id="rId2"/>
    <sheet name="Luồng nghiệp vụ &amp; Giải trình" sheetId="3" r:id="rId3"/>
  </sheets>
  <calcPr calcId="191029" iterateDelta="1E-4"/>
</workbook>
</file>

<file path=xl/calcChain.xml><?xml version="1.0" encoding="utf-8"?>
<calcChain xmlns="http://schemas.openxmlformats.org/spreadsheetml/2006/main">
  <c r="G47" i="2" l="1"/>
  <c r="G46" i="2"/>
</calcChain>
</file>

<file path=xl/sharedStrings.xml><?xml version="1.0" encoding="utf-8"?>
<sst xmlns="http://schemas.openxmlformats.org/spreadsheetml/2006/main" count="967" uniqueCount="556">
  <si>
    <t>Buổi</t>
  </si>
  <si>
    <t>Danh sách task</t>
  </si>
  <si>
    <t>Chức năng</t>
  </si>
  <si>
    <t>Chức năng chi tiết</t>
  </si>
  <si>
    <t>Mức độ</t>
  </si>
  <si>
    <t>Trạng thái</t>
  </si>
  <si>
    <t>Điểm tối đa</t>
  </si>
  <si>
    <t>Ghi chú</t>
  </si>
  <si>
    <t>Buổi 1</t>
  </si>
  <si>
    <t>Khởi tạo dự án</t>
  </si>
  <si>
    <t>Cấu trúc source</t>
  </si>
  <si>
    <t>Khởi tạo FastAPI project theo cấu trúc module: routers, models, schemas, services, dependencies, core, db.</t>
  </si>
  <si>
    <t>Bắt buộc</t>
  </si>
  <si>
    <t>Hoàn thành</t>
  </si>
  <si>
    <t>Đúng cấu trúc, đã kiểm tra qua Swagger</t>
  </si>
  <si>
    <t>Cấu hình môi trường</t>
  </si>
  <si>
    <t>Tạo .env/.env.example; cấu hình DATABASE_URL, SECRET_KEY, JWT settings và đọc config từ môi trường.</t>
  </si>
  <si>
    <t>Dùng pydantic-settings</t>
  </si>
  <si>
    <t>Database</t>
  </si>
  <si>
    <t>Kết nối DB</t>
  </si>
  <si>
    <t>Kết nối MySQL bằng SQLAlchemy; xây dựng engine, SessionLocal và dependency get_db.</t>
  </si>
  <si>
    <t>Có pool_pre_ping, tự rollback khi lỗi</t>
  </si>
  <si>
    <t>Thiết kế model</t>
  </si>
  <si>
    <t>Tạo model User, ResearchProject, ResearchMember, ResearchTask; khóa chính, khóa ngoại, timestamps và quan hệ phù hợp.</t>
  </si>
  <si>
    <t>Có relationship() đầy đủ 2 chiều</t>
  </si>
  <si>
    <t>Pydantic schema</t>
  </si>
  <si>
    <t>Tạo Base/Create/Update/Response schema cho các entity chính; bật ORM/from_attributes khi cần.</t>
  </si>
  <si>
    <t>Khởi tạo bảng</t>
  </si>
  <si>
    <t>Tạo bảng/migration ban đầu và kiểm tra DB khởi tạo thành công.</t>
  </si>
  <si>
    <t>Base.metadata.create_all()</t>
  </si>
  <si>
    <t>Core</t>
  </si>
  <si>
    <t>Exception &amp; response</t>
  </si>
  <si>
    <t>Thiết lập exception cơ bản (404/400/403), format lỗi thống nhất và healthcheck endpoint.</t>
  </si>
  <si>
    <t>Tách riêng core/exception_handlers.py, có IntegrityError/SQLAlchemyError riêng</t>
  </si>
  <si>
    <t>Nâng cao</t>
  </si>
  <si>
    <t>Seed dữ liệu</t>
  </si>
  <si>
    <t>Viết script seed user/đề tài nghiên cứu/nhiệm vụ nghiên cứu mẫu phục vụ test và demo.</t>
  </si>
  <si>
    <t>Không bắt buộc</t>
  </si>
  <si>
    <t>seed.py</t>
  </si>
  <si>
    <t>Buổi 2</t>
  </si>
  <si>
    <t>Authentication</t>
  </si>
  <si>
    <t>Register</t>
  </si>
  <si>
    <t>POST /auth/register: tạo tài khoản, kiểm tra email trùng, validate dữ liệu đầu vào.</t>
  </si>
  <si>
    <t>Password</t>
  </si>
  <si>
    <t>Hash mật khẩu bằng bcrypt/passlib; tuyệt đối không lưu mật khẩu dạng plain text.</t>
  </si>
  <si>
    <t>Login</t>
  </si>
  <si>
    <t>POST /auth/login: xác thực email/password và trả access token JWT hợp lệ.</t>
  </si>
  <si>
    <t>Chuẩn OAuth2PasswordRequestForm</t>
  </si>
  <si>
    <t>Current user</t>
  </si>
  <si>
    <t>Xây dựng OAuth2PasswordBearer + dependency get_current_user để đọc user từ JWT.</t>
  </si>
  <si>
    <t>Authorization</t>
  </si>
  <si>
    <t>Role guard</t>
  </si>
  <si>
    <t>Phân quyền cơ bản USER/ADMIN hoặc dependency kiểm tra role cho endpoint quản trị.</t>
  </si>
  <si>
    <t>require_admin</t>
  </si>
  <si>
    <t>User</t>
  </si>
  <si>
    <t>Profile</t>
  </si>
  <si>
    <t>GET /users/me: trả thông tin người dùng hiện tại, không lộ password_hash.</t>
  </si>
  <si>
    <t>Danh sách user</t>
  </si>
  <si>
    <t>GET /users: chỉ Admin; có search theo tên/email và trạng thái.</t>
  </si>
  <si>
    <t>Validation</t>
  </si>
  <si>
    <t>Lỗi nghiệp vụ</t>
  </si>
  <si>
    <t>Xử lý lỗi token hết hạn/sai, đăng nhập sai, tài khoản không hoạt động bằng HTTP status phù hợp.</t>
  </si>
  <si>
    <t>401 vs 403 phân biệt rõ</t>
  </si>
  <si>
    <t>Refresh token</t>
  </si>
  <si>
    <t>Bổ sung refresh token và endpoint cấp lại access token.</t>
  </si>
  <si>
    <t>Chưa làm</t>
  </si>
  <si>
    <t>Đã hiểu ý tưởng, chưa triển khai code</t>
  </si>
  <si>
    <t>Rate limit</t>
  </si>
  <si>
    <t>Giới hạn tần suất gọi login hoặc cơ chế chống brute-force ở mức demo.</t>
  </si>
  <si>
    <t>Buổi 3</t>
  </si>
  <si>
    <t>Đề tài nghiên cứu</t>
  </si>
  <si>
    <t>Tạo đề tài nghiên cứu</t>
  </si>
  <si>
    <t>POST /research-projects: user đăng nhập tạo đề tài nghiên cứu và tự động trở thành OWNER.</t>
  </si>
  <si>
    <t>Danh sách đề tài nghiên cứu</t>
  </si>
  <si>
    <t>GET /research-projects: chỉ trả đề tài nghiên cứu mà user là owner/member; hỗ trợ search tên đề tài nghiên cứu.</t>
  </si>
  <si>
    <t>Chi tiết đề tài nghiên cứu</t>
  </si>
  <si>
    <t>GET /research-projects/{id}: chỉ thành viên đề tài nghiên cứu mới được xem.</t>
  </si>
  <si>
    <t>Cập nhật/xóa</t>
  </si>
  <si>
    <t>PUT/PATCH/DELETE đề tài nghiên cứu; chỉ OWNER được sửa/xóa.</t>
  </si>
  <si>
    <t>Đề tài nghiên cứu member</t>
  </si>
  <si>
    <t>Thêm thành viên</t>
  </si>
  <si>
    <t>POST /research-projects/{id}/members: owner thêm user vào đề tài nghiên cứu; không cho thêm trùng.</t>
  </si>
  <si>
    <t>Xóa thành viên</t>
  </si>
  <si>
    <t>DELETE /research-projects/{id}/members/{user_id}: owner xóa member; không được xóa owner cuối cùng.</t>
  </si>
  <si>
    <t>Danh sách thành viên</t>
  </si>
  <si>
    <t>GET /research-projects/{id}/members: trả danh sách member và role trong đề tài nghiên cứu.</t>
  </si>
  <si>
    <t>Dữ liệu đề tài nghiên cứu</t>
  </si>
  <si>
    <t>Tên đề tài nghiên cứu không trống, không vượt giới hạn; xử lý đề tài nghiên cứu/user không tồn tại.</t>
  </si>
  <si>
    <t>Field min/max_length, gt=0 cho ID</t>
  </si>
  <si>
    <t>Activity log</t>
  </si>
  <si>
    <t>Lưu lịch sử thao tác quan trọng: tạo/sửa đề tài nghiên cứu, thêm/xóa member.</t>
  </si>
  <si>
    <t>Soft delete</t>
  </si>
  <si>
    <t>Đề tài nghiên cứu có deleted_at/is_deleted và không mất dữ liệu khi xóa.</t>
  </si>
  <si>
    <t>Buổi 4</t>
  </si>
  <si>
    <t>Nhiệm vụ nghiên cứu</t>
  </si>
  <si>
    <t>Tạo nhiệm vụ nghiên cứu</t>
  </si>
  <si>
    <t>POST /research-projects/{id}/research-tasks: thành viên có quyền tạo nhiệm vụ nghiên cứu với title, description, due_date, priority.</t>
  </si>
  <si>
    <t>Danh sách nhiệm vụ nghiên cứu</t>
  </si>
  <si>
    <t>GET /research-projects/{id}/research-tasks: trả nhiệm vụ nghiên cứu thuộc đề tài nghiên cứu, không lộ nhiệm vụ đề tài khác.</t>
  </si>
  <si>
    <t>Chi tiết nhiệm vụ nghiên cứu</t>
  </si>
  <si>
    <t>GET /research-tasks/{id}: kiểm tra user thuộc đề tài nghiên cứu trước khi trả dữ liệu.</t>
  </si>
  <si>
    <t>Cập nhật nhiệm vụ nghiên cứu</t>
  </si>
  <si>
    <t>PATCH /research-tasks/{id}: cập nhật các trường hợp lệ, không ghi đè trường không gửi lên.</t>
  </si>
  <si>
    <t>exclude_unset=True</t>
  </si>
  <si>
    <t>Xóa nhiệm vụ nghiên cứu</t>
  </si>
  <si>
    <t>DELETE /research-tasks/{id}: áp dụng permission phù hợp và trả response đúng chuẩn.</t>
  </si>
  <si>
    <t>Giao việc</t>
  </si>
  <si>
    <t>Gán assignee là một thành viên nhóm nghiên cứu; không cho gán user ngoài đề tài nghiên cứu.</t>
  </si>
  <si>
    <t>Validate cả lúc Create và Update</t>
  </si>
  <si>
    <t>Workflow</t>
  </si>
  <si>
    <t>Quản lý status TODO/IN_PROGRESS/DONE và priority LOW/MEDIUM/HIGH với validation.</t>
  </si>
  <si>
    <t>field_validator kiểm tra enum hợp lệ</t>
  </si>
  <si>
    <t>Search &amp; filter</t>
  </si>
  <si>
    <t>Filter theo status, priority, assignee; search title; có thể kết hợp nhiều điều kiện.</t>
  </si>
  <si>
    <t>Pagination &amp; sort</t>
  </si>
  <si>
    <t>Phân trang limit/offset hoặc page/size; sort theo created_at/due_date.</t>
  </si>
  <si>
    <t>Có thêm sort_by/order nâng cao hơn yêu cầu</t>
  </si>
  <si>
    <t>Permission matrix</t>
  </si>
  <si>
    <t>Owner/member/assignee có quyền khác nhau; endpoint phải chặn truy cập trái phép bằng 403.</t>
  </si>
  <si>
    <t>Comment</t>
  </si>
  <si>
    <t>Thêm comment (trao đổi học thuật giữa các thành viên) cho nhiệm vụ nghiên cứu; chỉ thành viên đề tài nghiên cứu được xem/tạo comment.</t>
  </si>
  <si>
    <t>Attachment</t>
  </si>
  <si>
    <t>Upload file đính kèm (tài liệu, bản thảo, dữ liệu nghiên cứu) cho nhiệm vụ nghiên cứu, kiểm tra loại/kích thước file và lưu đường dẫn.</t>
  </si>
  <si>
    <t>Research Documents: validate extension, dung lượng tối đa 5MB, cascade delete</t>
  </si>
  <si>
    <t>Buổi 5</t>
  </si>
  <si>
    <t>Quality</t>
  </si>
  <si>
    <t>Test API</t>
  </si>
  <si>
    <t>Lập checklist test luồng chính trên Swagger/Postman; test cả case đúng và case lỗi.</t>
  </si>
  <si>
    <t>Đã test 17+ test case cho Tiết 3, đầy đủ case đúng/lỗi cho Tiết 1-4</t>
  </si>
  <si>
    <t>Fix bug</t>
  </si>
  <si>
    <t>Sửa lỗi phát hiện khi integration test; không còn lỗi 500 ở các case nghiệp vụ thông thường.</t>
  </si>
  <si>
    <t>Tách IntegrityError/SQLAlchemyError riêng, không còn rơi vào 500 chung</t>
  </si>
  <si>
    <t>Documentation</t>
  </si>
  <si>
    <t>Swagger</t>
  </si>
  <si>
    <t>Hoàn thiện summary/description, response model, status code và tags để Swagger dễ đọc.</t>
  </si>
  <si>
    <t>Đã thêm summary/description cho toàn bộ endpoint</t>
  </si>
  <si>
    <t>TỔNG ĐIỂM ĐÃ ĐẠT (dựa trên cột Trạng thái = Hoàn thành)</t>
  </si>
  <si>
    <t>TỔNG ĐIỂM TỐI ĐA (tổng toàn bộ cột Điểm tối đa)</t>
  </si>
  <si>
    <t>CHÚ GIẢI:</t>
  </si>
  <si>
    <t>Đã hoàn thành</t>
  </si>
  <si>
    <t>Chưa làm / đang làm</t>
  </si>
  <si>
    <t>Ô cần điền: nhập điểm tối đa theo đúng thang điểm thật của lớp</t>
  </si>
  <si>
    <t>Mức độ: Bắt buộc</t>
  </si>
  <si>
    <t>BÁO CÁO TIẾN ĐỘ ĐỒ ÁN — RESEARCH GROUP MANAGEMENT API</t>
  </si>
  <si>
    <t>FastAPI + MySQL + JWT Authentication — Đồ án môn học 5 buổi</t>
  </si>
  <si>
    <t>Tên đề tài:</t>
  </si>
  <si>
    <t>Research Group Management API</t>
  </si>
  <si>
    <t>Sinh viên thực hiện:</t>
  </si>
  <si>
    <t xml:space="preserve">Nguyễn Văn Thông </t>
  </si>
  <si>
    <t>Mã lớp / Môn học:</t>
  </si>
  <si>
    <t>IT215 - FastAPI</t>
  </si>
  <si>
    <t>Công nghệ sử dụng:</t>
  </si>
  <si>
    <t>FastAPI, SQLAlchemy, MySQL, Pydantic v2, JWT (python-jose), Bcrypt (passlib)</t>
  </si>
  <si>
    <t>Thời gian thực hiện:</t>
  </si>
  <si>
    <t>5 buổi</t>
  </si>
  <si>
    <t>Ngày báo cáo:</t>
  </si>
  <si>
    <t>TÓM TẮT TIẾN ĐỘ THEO TỪNG BUỔI</t>
  </si>
  <si>
    <t>Nội dung chính</t>
  </si>
  <si>
    <t>Khởi tạo dự án, cấu trúc thư mục, kết nối MySQL, thiết kế model &amp; schema</t>
  </si>
  <si>
    <t>Đã test khởi động server, tạo bảng tự động thành công</t>
  </si>
  <si>
    <t>Xác thực JWT: đăng ký, đăng nhập, phân quyền USER/ADMIN</t>
  </si>
  <si>
    <t>Đã test đầy đủ case đúng/lỗi qua Swagger</t>
  </si>
  <si>
    <t>Quản lý đề tài nghiên cứu &amp; thành viên (quan hệ N-N, phân quyền OWNER/MEMBER)</t>
  </si>
  <si>
    <t>Đã test 17 test case bao gồm ràng buộc nghiệp vụ</t>
  </si>
  <si>
    <t>Quản lý nhiệm vụ nghiên cứu: CRUD, giao việc, filter, phân trang, sắp xếp</t>
  </si>
  <si>
    <t>Đã bổ sung sort_by/order nâng cao hơn yêu cầu gốc</t>
  </si>
  <si>
    <t>Hoàn thiện Swagger, kiểm thử tổng thể, tối ưu exception handling</t>
  </si>
  <si>
    <t>Đang hoàn thiện</t>
  </si>
  <si>
    <t>Đã tách exception handler riêng, thêm siết chặt validate</t>
  </si>
  <si>
    <t>Upload tài liệu đính kèm (Research Documents)</t>
  </si>
  <si>
    <t>Hoàn thành (bonus)</t>
  </si>
  <si>
    <t>Có validate định dạng/dung lượng file, cascade delete</t>
  </si>
  <si>
    <t>LUỒNG NGHIỆP VỤ ĐỂ GIẢNG VIÊN TEST TỪNG BUỔI</t>
  </si>
  <si>
    <t>Mỗi buổi liệt kê các bước gọi API theo đúng thứ tự nghiệp vụ (đăng nhập trước, thao tác sau) kèm kết quả kỳ vọng, và phần giải trình lý do chọn cách làm này thay vì cách khác.</t>
  </si>
  <si>
    <t>1. LUỒNG TEST THEO TỪNG BUỔI (Buổi 1 → Buổi 5)</t>
  </si>
  <si>
    <t>Bước</t>
  </si>
  <si>
    <t>Luồng nghiệp vụ (Method + Endpoint)</t>
  </si>
  <si>
    <t>Input mẫu / Điều kiện</t>
  </si>
  <si>
    <t>Kết quả kỳ vọng</t>
  </si>
  <si>
    <t>Giả định / Rủi ro cần xác nhận</t>
  </si>
  <si>
    <t>Kết quả Pass/Fail</t>
  </si>
  <si>
    <t>Điểm chấm</t>
  </si>
  <si>
    <t>Mã lỗi (HTTP Status)</t>
  </si>
  <si>
    <t>Giải trình luồng xử lý nội bộ &amp; Ngoại lệ (nếu người dùng "phá")</t>
  </si>
  <si>
    <t>GET /health</t>
  </si>
  <si>
    <t>Không cần token</t>
  </si>
  <si>
    <t>200 OK — xác nhận server chạy và DB kết nối được (create_all() không lỗi lúc khởi động)</t>
  </si>
  <si>
    <t>200</t>
  </si>
  <si>
    <t>✓</t>
  </si>
  <si>
    <t>Request tới /health không qua dependency xác thực → handler chỉ trả JSON tĩnh {status: ok}. Vì app đã start được (create_all() không lỗi) nên việc trả 200 gián tiếp xác nhận DB đã kết nối lúc khởi động.</t>
  </si>
  <si>
    <t>GET /health (khi DB offline)</t>
  </si>
  <si>
    <t>Tắt MySQL trước khi start app, rồi gọi lại</t>
  </si>
  <si>
    <t>Cần thấy lỗi khởi động rõ ràng (log/500), không được im lặng trả 200 giả</t>
  </si>
  <si>
    <t>Giả định cần xác nhận: /health hiện tại có thật sự ping DB hay chỉ trả tĩnh {'status':'ok'} — nếu chỉ trả tĩnh thì chưa đúng nghĩa healthcheck</t>
  </si>
  <si>
    <t>— (không có mã cố định, chỉ cần log lỗi khởi động rõ ràng, không im lặng trả 200)</t>
  </si>
  <si>
    <t>☐</t>
  </si>
  <si>
    <t>Nếu DATABASE_URL sai/MySQL không chạy, lỗi xảy ra NGAY LÚC KHỞI ĐỘNG app (khi engine.connect() hoặc create_all() chạy) chứ không phải lúc gọi /health — server sẽ crash và không lên được cổng, log traceback kết nối DB ra console. Đây là điểm cần "phá" thử: tắt MySQL trước rồi mới chạy uvicorn.</t>
  </si>
  <si>
    <t>GET /health x20 lần liên tiếp</t>
  </si>
  <si>
    <t>Luôn 200, thời gian phản hồi ổn định — không tăng dần (không leak connection pool do get_db không đóng session)</t>
  </si>
  <si>
    <t>get_db() dùng yield nên mỗi request tạo 1 Session mới và đóng lại ở finally sau khi response trả về → gọi lặp lại nhiều lần không làm connection pool phình to nếu code không quên đóng session ở đâu đó.</t>
  </si>
  <si>
    <t>Khởi động lại server 2 lần liên tiếp</t>
  </si>
  <si>
    <t>Base.metadata.create_all() không báo lỗi 'table already exists'; dữ liệu seed.py cũ vẫn còn nguyên, không bị xóa/tạo lại</t>
  </si>
  <si>
    <t>— (không phải 1 request API, kiểm tra ổn định khi restart)</t>
  </si>
  <si>
    <t>create_all() kiểm tra bảng đã tồn tại trước khi tạo (CREATE TABLE IF NOT EXISTS ở tầng SQL) nên chạy lại không lỗi và không xóa dữ liệu cũ; nếu ai đó sửa sai thành drop_all() trước create_all() thì đây chính là chỗ dữ liệu seed sẽ mất — cần kiểm tra kỹ code khởi động không có drop_all().</t>
  </si>
  <si>
    <t>POST /auth/register</t>
  </si>
  <si>
    <t>Email hợp lệ @gmail.com, password đủ mạnh</t>
  </si>
  <si>
    <t>201 — tạo user mới, role mặc định USER</t>
  </si>
  <si>
    <t>201</t>
  </si>
  <si>
    <t>Router nhận RegisterSchema (Pydantic validate email/password trước) → service query User theo email → không trùng thì hash password bằng bcrypt rồi insert User mới với role mặc định USER.</t>
  </si>
  <si>
    <t>Lặp lại đúng email (case giống hệt) vừa đăng ký ở bước 1</t>
  </si>
  <si>
    <t>400 — "Email đã được sử dụng"</t>
  </si>
  <si>
    <t>400</t>
  </si>
  <si>
    <t>Trước khi insert, service SELECT User WHERE email = ... → nếu có kết quả, chủ động raise HTTPException(400) và return ngay, không chạm câu lệnh INSERT — tránh để lỗi rơi xuống thành IntegrityError khó đọc ở tầng DB.</t>
  </si>
  <si>
    <t>Email trùng nhưng khác hoa/thường: Test@gmail.com vs test@gmail.com</t>
  </si>
  <si>
    <t>Cần nhất quán với logic check trùng email</t>
  </si>
  <si>
    <t>Giả định cần xác nhận: có LOWER(email) trước khi so sánh trùng không — nếu không, hệ thống tạo được 2 tài khoản coi như 'khác nhau' dù thực tế trùng email</t>
  </si>
  <si>
    <t>201 hoặc 400 (tùy xác nhận cách check trùng email)</t>
  </si>
  <si>
    <t>Đây là chỗ để 'phá' thử: nếu service so email bằng == thường (case-sensitive) thay vì so sau khi hạ LOWER(), User.query sẽ không thấy trùng và cho đăng ký 2 tài khoản email giống nhau về mặt hiển thị — cần xác nhận code có chuẩn hoá email trước khi lưu/so sánh không.</t>
  </si>
  <si>
    <t>Email sai định dạng, ví dụ "abc123" (thiếu @)</t>
  </si>
  <si>
    <t>422 — Pydantic EmailStr chặn trước khi chạm DB</t>
  </si>
  <si>
    <t>422</t>
  </si>
  <si>
    <t>Pydantic EmailStr validate cú pháp email ngay ở tầng schema, TRƯỚC KHI FastAPI gọi vào hàm xử lý route → sai định dạng bị chặn ở lớp validate, service/DB không hề được gọi tới.</t>
  </si>
  <si>
    <t>Password quá ngắn (dưới ngưỡng min_length nếu có quy định)</t>
  </si>
  <si>
    <t>422 nếu validate ở tầng Pydantic, hoặc 400 nếu validate ở service</t>
  </si>
  <si>
    <t>Giả định cần xác nhận: đề bài/lớp có yêu cầu độ mạnh password cụ thể không — nếu có mà chưa validate thì đây là thiếu sót cần bổ sung</t>
  </si>
  <si>
    <t>422 hoặc 400</t>
  </si>
  <si>
    <t>Nếu có Field(min_length=...) trên schema, Pydantic tự chặn và trả 422; nếu đội ngũ code lại tự check độ dài trong service (if len(password) &lt; 8: raise...) thì sẽ là 400 — hai vị trí validate cho cùng 1 lỗi dễ gây nhầm lẫn, cần chọn 1 nơi duy nhất.</t>
  </si>
  <si>
    <t>Thiếu field password trong body</t>
  </si>
  <si>
    <t>422 — Pydantic báo "field required"</t>
  </si>
  <si>
    <t>Pydantic coi field không có default là bắt buộc → thiếu field sẽ bị chặn ngay khi FastAPI parse body thành Schema, trả về chi tiết field nào thiếu trong response 422.</t>
  </si>
  <si>
    <t>Body gửi rỗng {}</t>
  </si>
  <si>
    <t>Tương tự bước 6, toàn bộ field bắt buộc đều thiếu nên Pydantic liệt kê đầy đủ danh sách lỗi trong 1 response 422 duy nhất (không phải nhiều lỗi riêng lẻ).</t>
  </si>
  <si>
    <t>POST /auth/login</t>
  </si>
  <si>
    <t>Email + password đúng của bước 1 (form-data, không phải JSON)</t>
  </si>
  <si>
    <t>200 — trả access_token (Bearer)</t>
  </si>
  <si>
    <t>authenticate_user(email, password) query User theo email → verify password bằng bcrypt.checkpw → đúng thì tạo JWT bằng jose.jwt.encode() với payload có sub=user_id và thời gian hết hạn, trả về access_token.</t>
  </si>
  <si>
    <t>Đúng email, sai password</t>
  </si>
  <si>
    <t>401 — "Email hoặc mật khẩu không đúng"</t>
  </si>
  <si>
    <t>401</t>
  </si>
  <si>
    <t>Query thấy user nhưng bcrypt.checkpw trả False → service raise HTTPException(401) với message chung, KHÔNG được nói rõ là 'sai password' để tránh lộ thông tin email có tồn tại hay không.</t>
  </si>
  <si>
    <t>Email chưa từng đăng ký</t>
  </si>
  <si>
    <t>401 — thông báo lỗi giống hệt bước 9 (không được lộ 'email không tồn tại')</t>
  </si>
  <si>
    <t>Giả định cần xác nhận: message lỗi ở bước 9 và bước 10 phải GIỐNG HỆT NHAU — nếu khác nhau là lỗ hổng cho phép dò xem email nào đã đăng ký (user enumeration)</t>
  </si>
  <si>
    <t>Query không tìm thấy user theo email → phải raise CÙNG MỘT exception/message như bước 9 (không phải nhánh code khác) — đây là chỗ hay bị 'phá': nếu 2 nhánh trả message khác nhau, hacker dò được email nào đã đăng ký (user enumeration).</t>
  </si>
  <si>
    <t>Tài khoản có is_active=False</t>
  </si>
  <si>
    <t>403 — "Tài khoản đã bị khóa"</t>
  </si>
  <si>
    <t>403</t>
  </si>
  <si>
    <t>Sau khi xác thực password đúng, service kiểm tra thêm user.is_active → False thì raise HTTPException(403) TRƯỚC KHI tạo JWT — tài khoản bị khóa không được cấp token dù password đúng.</t>
  </si>
  <si>
    <t>Gửi login bằng JSON body thay vì form-data</t>
  </si>
  <si>
    <t>422 — FastAPI không đọc được field do sai content-type/schema</t>
  </si>
  <si>
    <t>OAuth2PasswordRequestForm khai báo nhận Form(...) chứ không phải Body(...) → FastAPI cố parse JSON thành form field sẽ thất bại ở tầng framework, trả 422 trước khi vào được hàm login().</t>
  </si>
  <si>
    <t>Chỉ gửi username, thiếu password</t>
  </si>
  <si>
    <t>OAuth2PasswordRequestForm coi username/password là bắt buộc → thiếu 1 trong 2 bị FastAPI chặn ở tầng parse form, không chạy tới logic xác thực.</t>
  </si>
  <si>
    <t>GET /users/me</t>
  </si>
  <si>
    <t>Header Authorization: Bearer &lt;token&gt; hợp lệ của bước 8</t>
  </si>
  <si>
    <t>200 — thông tin user hiện tại, KHÔNG có field password_hash</t>
  </si>
  <si>
    <t>get_current_user giải mã JWT hợp lệ, lấy user_id từ payload 'sub', query User theo id → serialize qua UserResponse schema (không khai báo field password_hash trong schema này) nên field đó tự động bị loại khi trả JSON.</t>
  </si>
  <si>
    <t>Token đã hết hạn (rút ngắn thời gian JWT_EXPIRE để test nhanh)</t>
  </si>
  <si>
    <t>401 — "Token đã hết hạn", KHÔNG rơi vào lỗi 500</t>
  </si>
  <si>
    <t>jwt.decode() ném ExpiredSignatureError khi hết hạn → get_current_user bắt riêng exception này để trả 401 kèm message rõ ràng 'Token đã hết hạn', tránh để lộ traceback hoặc rơi vào lỗi 500 chung.</t>
  </si>
  <si>
    <t>Token bị sửa 1 ký tự cuối (sai chữ ký signature)</t>
  </si>
  <si>
    <t>401 — "Token không hợp lệ"</t>
  </si>
  <si>
    <t>Sửa 1 ký tự trong token làm sai phần chữ ký (signature) → jwt.decode() ném JWTError khác (InvalidSignatureError) → cùng được bắt và trả 401 nhưng message có thể khác 'Token đã hết hạn' để phân biệt 2 loại lỗi.</t>
  </si>
  <si>
    <t>Không gửi header Authorization</t>
  </si>
  <si>
    <t>OAuth2PasswordBearer tự động raise 401 nếu không thấy header Authorization trong request — FastAPI chặn ở tầng dependency trước khi vào cả get_current_user.</t>
  </si>
  <si>
    <t>Header Authorization thiếu tiền tố "Bearer " (chỉ gửi thẳng token)</t>
  </si>
  <si>
    <t>401 — cần đúng status code, không phải 422/500</t>
  </si>
  <si>
    <t>Giả định cần xác nhận: OAuth2PasswordBearer mặc định trả 401 cho case này, cần chạy thử thực tế để chốt số liệu ghi vào báo cáo</t>
  </si>
  <si>
    <t>Đây là ca 'phá' hay gặp: gửi đúng token nhưng thiếu chữ 'Bearer ' phía trước — cần chạy thử thực tế để chốt xem OAuth2PasswordBearer coi đây là thiếu header (401) hay sai định dạng (403/422), rồi ghi thống nhất vào tài liệu.</t>
  </si>
  <si>
    <t>GET /users</t>
  </si>
  <si>
    <t>Token của user role=USER</t>
  </si>
  <si>
    <t>403 — chỉ ADMIN được gọi</t>
  </si>
  <si>
    <t>require_admin dependency đọc current_user.role → khác 'ADMIN' thì raise HTTPException(403) trước khi hàm liệt kê user chạy — dữ liệu user list không hề được query nếu quyền không đủ.</t>
  </si>
  <si>
    <t>GET /users?search=...&amp;is_active=true</t>
  </si>
  <si>
    <t>Token của user role=ADMIN</t>
  </si>
  <si>
    <t>200 — danh sách user, lọc đúng theo search/is_active</t>
  </si>
  <si>
    <t>search áp filter LIKE/ILIKE lên cột email hoặc tên trong query SQLAlchemy → kết hợp thêm filter is_active nếu có, cả 2 điều kiện được AND lại trong cùng 1 câu SELECT.</t>
  </si>
  <si>
    <t>GET /users?is_active=false</t>
  </si>
  <si>
    <t>Token ADMIN</t>
  </si>
  <si>
    <t>200 — chỉ trả các user đã bị khóa (is_active=False)</t>
  </si>
  <si>
    <t>Tương tự bước 20, chỉ áp filter is_active=False, không cần search kèm theo.</t>
  </si>
  <si>
    <t>Không có token</t>
  </si>
  <si>
    <t>401 — chặn ở tầng xác thực trước khi kiểm tra role</t>
  </si>
  <si>
    <t>OAuth2PasswordBearer chặn thiếu token TRƯỚC KHI require_admin kịp kiểm tra role — nên request không token luôn dừng ở 401, không bao giờ tới được bước check quyền ADMIN.</t>
  </si>
  <si>
    <t>POST /research-projects</t>
  </si>
  <si>
    <t>Token user A, name hợp lệ</t>
  </si>
  <si>
    <t>201 — tạo project, user A tự động trở thành OWNER</t>
  </si>
  <si>
    <t>create_project(): insert ResearchProject → flush() để lấy project.id vừa sinh (chưa commit) → insert ResearchMember(role=OWNER, user_id=A, project_id=project.id) → commit() 1 lần duy nhất cho cả 2 bảng.</t>
  </si>
  <si>
    <t>Lặp lại đúng tên (kể cả đổi hoa/thường) với cùng user A</t>
  </si>
  <si>
    <t>400 — "Bạn đã sở hữu một đề tài nghiên cứu có tên này rồi!"</t>
  </si>
  <si>
    <t>Query kiểm tra: SELECT ... WHERE LOWER(name)=LOWER(:name) AND owner liên quan tới user A → có kết quả thì raise 400 trước khi insert, không tạo project 'ma' rồi mới rollback.</t>
  </si>
  <si>
    <t>name rỗng "" hoặc chỉ toàn khoảng trắng " "</t>
  </si>
  <si>
    <t>422 — Field min_length chặn</t>
  </si>
  <si>
    <t>Field(min_length=1) trên schema Create chặn chuỗi rỗng ngay ở Pydantic; chuỗi chỉ toàn khoảng trắng có thể LỌT qua nếu thiếu strip_whitespace — đây là điểm cần thử 'phá' bằng cách gửi name="   ".</t>
  </si>
  <si>
    <t>name vượt quá max_length (ví dụ 300 ký tự)</t>
  </si>
  <si>
    <t>Field(max_length=...) trên schema chặn chuỗi quá dài trước khi tới DB — tránh trường hợp cột VARCHAR trong MySQL tự cắt chuỗi (truncate) một cách âm thầm mà không báo lỗi.</t>
  </si>
  <si>
    <t>name có khoảng trắng thừa 2 đầu: " AI Research "</t>
  </si>
  <si>
    <t>Cần trim trước khi lưu để tránh dữ liệu bẩn</t>
  </si>
  <si>
    <t>Giả định cần xác nhận: có .strip() trước khi lưu/so sánh không — nếu không, " AI Research" và "AI Research" bị coi là 2 tên khác nhau dù nhìn giống hệt trên UI</t>
  </si>
  <si>
    <t>201 hoặc 400 (tùy xác nhận có trim() hay không)</t>
  </si>
  <si>
    <t>Nếu schema không có strip_whitespace=True hoặc service không gọi .strip(), giá trị lưu vào DB giữ nguyên khoảng trắng thừa → lần check trùng tên sau này (LOWER so sánh) có thể coi " AI Research" và "AI Research" là 2 tên khác nhau dù hiển thị giống hệt.</t>
  </si>
  <si>
    <t>GET /research-projects</t>
  </si>
  <si>
    <t>Token user B (chưa từng tham gia project nào)</t>
  </si>
  <si>
    <t>200 — trả mảng rỗng (không thấy project của A)</t>
  </si>
  <si>
    <t>Query GET list luôn JOIN qua bảng ResearchMember lọc theo user hiện tại (WHERE ResearchMember.user_id = current_user.id) → user B chưa từng ở bảng này nên kết quả trả về là mảng rỗng, không phải lỗi.</t>
  </si>
  <si>
    <t>GET /research-projects/{id}</t>
  </si>
  <si>
    <t>Token user B, id project của A</t>
  </si>
  <si>
    <t>403 — "Bạn không thuộc về đề tài này"</t>
  </si>
  <si>
    <t>get_project_or_404 lấy được project (id tồn tại) nhưng bước kiểm tra tiếp theo là user hiện tại có trong ResearchMember của project này không → không có thì raise 403 (khác với case id sai ở bước 8 sẽ raise 404).</t>
  </si>
  <si>
    <t>id không tồn tại (vd 999999)</t>
  </si>
  <si>
    <t>404 — "Không tìm thấy đề tài"</t>
  </si>
  <si>
    <t>404</t>
  </si>
  <si>
    <t>get_project_or_404 query theo id trước tiên (kèm is_deleted=False) → không có bản ghi nào thì raise 404 ngay, dừng lại trước khi kịp check quyền thành viên.</t>
  </si>
  <si>
    <t>id truyền dạng chữ, ví dụ "abc"</t>
  </si>
  <si>
    <t>422 — FastAPI validate kiểu int của path param trước khi vào handler</t>
  </si>
  <si>
    <t>FastAPI validate kiểu path param (int) TRƯỚC KHI request chạm vào get_project_or_404 → 'abc' không convert được thành int nên bị chặn ở tầng routing/Pydantic, trả 422 chứ không phải 404.</t>
  </si>
  <si>
    <t>PATCH /research-projects/{id}</t>
  </si>
  <si>
    <t>Token user là MEMBER (không phải OWNER)</t>
  </si>
  <si>
    <t>403 — "Chỉ OWNER được sửa đề tài"</t>
  </si>
  <si>
    <t>Sau khi get_project_or_404 xác nhận project tồn tại, dependency kiểm tra role của current_user trong ResearchMember == OWNER → khác OWNER thì raise 403 trước khi chạm tới logic update.</t>
  </si>
  <si>
    <t>Body rỗng {}</t>
  </si>
  <si>
    <t>400 — "Không có dữ liệu nào để cập nhật"</t>
  </si>
  <si>
    <t>PATCH dùng exclude_unset=True để lấy dict các field thực sự được gửi → dict rỗng nghĩa là client không gửi field nào, service chủ động raise 400 thay vì thực hiện 1 câu UPDATE vô nghĩa.</t>
  </si>
  <si>
    <t>Đổi tên đề tài B thành trùng tên đề tài A (cùng 1 user sở hữu cả 2)</t>
  </si>
  <si>
    <t>Nên trả 400 giống lúc tạo mới</t>
  </si>
  <si>
    <t>Giả định cần xác nhận: có check trùng tên lại lúc UPDATE hay chỉ check lúc CREATE — nếu chỉ check lúc tạo, user có thể lách qua PATCH để có 2 project trùng tên</t>
  </si>
  <si>
    <t>Đây là chỗ hay bị bỏ sót khi 'phá': logic check trùng tên (LOWER so sánh) chỉ nằm trong hàm create_project, nếu update_project không gọi lại đúng logic đó, user có thể đổi tên qua PATCH để tạo ra 2 project trùng tên — cần rà lại code update có tái sử dụng hàm check trùng hay không.</t>
  </si>
  <si>
    <t>POST /research-projects/{id}/members?user_id=&lt;user C&gt;</t>
  </si>
  <si>
    <t>OWNER thêm user C hợp lệ (chưa từng là member)</t>
  </si>
  <si>
    <t>201/200 — thêm thành công, user C có role MEMBER</t>
  </si>
  <si>
    <t>201 hoặc 200</t>
  </si>
  <si>
    <t>OWNER gọi POST members → service check user được thêm có tồn tại + chưa là member → insert ResearchMember(role=MEMBER) mới, không đụng tới các member đã có.</t>
  </si>
  <si>
    <t>POST /research-projects/{id}/members?user_id=&lt;chính A&gt;</t>
  </si>
  <si>
    <t>OWNER tự thêm chính mình</t>
  </si>
  <si>
    <t>400 — "Bạn không thể tự thêm chính mình vào làm thành viên"</t>
  </si>
  <si>
    <t>So sánh user_id trong query param với current_user.id (chính là OWNER đang gọi) → trùng thì raise 400 trước khi insert, tránh sinh ra 1 dòng ResearchMember trùng lặp vai trò cho cùng 1 user trong cùng 1 project.</t>
  </si>
  <si>
    <t>POST /research-projects/{id}/members?user_id=999999</t>
  </si>
  <si>
    <t>user_id không tồn tại trong hệ thống</t>
  </si>
  <si>
    <t>404 hoặc 400 tùy cách xử lý — cần chốt 1 chuẩn duy nhất</t>
  </si>
  <si>
    <t>Giả định cần xác nhận: nên trả 404 (không tìm thấy user) để nhất quán với cách xử lý id không tồn tại ở các API khác trong hệ thống</t>
  </si>
  <si>
    <t>404 hoặc 400 (cần chốt 1 chuẩn)</t>
  </si>
  <si>
    <t>Cần rà xem service có SELECT User WHERE id=user_id trước khi insert ResearchMember không — nếu bỏ qua bước check này, insert sẽ thất bại ở tầng DB do vi phạm khóa ngoại (foreign key), lộ ra thành IntegrityError/500 thay vì 404 gọn gàng.</t>
  </si>
  <si>
    <t>Thêm lại user C đã là member sẵn (lặp bước 13)</t>
  </si>
  <si>
    <t>400 — "Người dùng đã là thành viên" (không tạo bản ghi trùng)</t>
  </si>
  <si>
    <t>Query SELECT ResearchMember WHERE project_id=... AND user_id=... trước khi insert → có kết quả thì raise 400, không tạo bản ghi trùng vai trò cho cùng 1 người trong cùng 1 project.</t>
  </si>
  <si>
    <t>POST /research-projects/{id}/members</t>
  </si>
  <si>
    <t>Gọi bởi MEMBER (không phải OWNER)</t>
  </si>
  <si>
    <t>403 — chỉ OWNER được thêm thành viên</t>
  </si>
  <si>
    <t>Cùng cơ chế dependency OWNER-only như PATCH ở bước 10 — MEMBER gọi POST members bị chặn ở tầng phân quyền trước khi service kịp chạy logic thêm người.</t>
  </si>
  <si>
    <t>DELETE /research-projects/{id}/members/{owner_id}</t>
  </si>
  <si>
    <t>Xóa OWNER khi đó là OWNER duy nhất còn lại</t>
  </si>
  <si>
    <t>400 — "Không thể xóa OWNER cuối cùng của đề tài"</t>
  </si>
  <si>
    <t>Trước khi DELETE member, service đếm số OWNER hiện tại của project (COUNT ResearchMember WHERE role=OWNER) → nếu member sắp xóa là OWNER và count == 1, raise 400 để đề tài không bao giờ rơi vào trạng thái không có OWNER nào.</t>
  </si>
  <si>
    <t>DELETE /research-projects/{id}/members/{user_id}</t>
  </si>
  <si>
    <t>user_id không tồn tại trong project (chưa từng là member)</t>
  </si>
  <si>
    <t>404 — "Thành viên không tồn tại trong đề tài"</t>
  </si>
  <si>
    <t>Query ResearchMember WHERE project_id=... AND user_id=... không ra kết quả → raise 404 trước khi thực hiện DELETE, tránh câu lệnh xóa chạy 'trên không khí' mà vẫn trả 204 giả.</t>
  </si>
  <si>
    <t>GET /research-projects/{id}/members</t>
  </si>
  <si>
    <t>Token member hợp lệ</t>
  </si>
  <si>
    <t>200 — trả đúng danh sách member kèm role (OWNER/MEMBER)</t>
  </si>
  <si>
    <t>Query JOIN ResearchMember với User để lấy đủ thông tin (tên/email) kèm role của từng người trong project, chỉ giới hạn theo project_id hiện tại.</t>
  </si>
  <si>
    <t>DELETE /research-projects/{id}</t>
  </si>
  <si>
    <t>OWNER xóa project của chính mình</t>
  </si>
  <si>
    <t>204 — soft delete (is_deleted=True), KHÔNG mất record trong DB</t>
  </si>
  <si>
    <t>204</t>
  </si>
  <si>
    <t>DELETE không chạy câu lệnh SQL DELETE thật, mà là UPDATE ResearchProject SET is_deleted=True, deleted_at=now() WHERE id=... — dữ liệu vẫn còn nguyên trong bảng.</t>
  </si>
  <si>
    <t>Gọi lại đúng id vừa xóa ở bước 21</t>
  </si>
  <si>
    <t>404 — vì get_project_or_404 đã lọc is_deleted=False</t>
  </si>
  <si>
    <t>get_project_or_404 mặc định luôn thêm điều kiện WHERE is_deleted=False vào câu query → project vừa soft-delete không còn thỏa điều kiện này nên bị coi như 'không tồn tại', trả 404.</t>
  </si>
  <si>
    <t>Gọi DELETE lần 2 lên đúng id đã bị xóa mềm ở bước 21</t>
  </si>
  <si>
    <t>404 — không cho xóa lần nữa một project đã soft-delete</t>
  </si>
  <si>
    <t>Cùng lý do như bước 22: gọi DELETE lần 2 cũng đi qua get_project_or_404 trước, project đã is_deleted=True nên bị chặn ở bước tìm kiếm, không bao giờ chạm tới logic xóa lần nữa.</t>
  </si>
  <si>
    <t>Token MEMBER (không phải OWNER) gọi xóa</t>
  </si>
  <si>
    <t>403 — chỉ OWNER được xóa đề tài</t>
  </si>
  <si>
    <t>Cùng dependency OWNER-only như bước 10/17 — MEMBER thường gọi DELETE bị raise 403 ngay ở tầng kiểm tra quyền, project không hề bị soft-delete.</t>
  </si>
  <si>
    <t>POST /research-projects/{id}/research-tasks</t>
  </si>
  <si>
    <t>Token member hợp lệ, title + status mặc định</t>
  </si>
  <si>
    <t>201 — tạo task, status=TODO, priority=MEDIUM</t>
  </si>
  <si>
    <t>Kiểm tra current_user thuộc project (qua ResearchMember) → validate assignee_id (nếu có) thuộc project → insert ResearchTask với status/priority lấy giá trị default của Enum nếu client không truyền.</t>
  </si>
  <si>
    <t>POST .../research-tasks</t>
  </si>
  <si>
    <t>Token của user không phải member đề tài</t>
  </si>
  <si>
    <t>Dependency check thành viên project (giống bước 7 Buổi 3) raise 403 TRƯỚC KHI vào tới logic tạo task — DB không hề được insert.</t>
  </si>
  <si>
    <t>assignee_id là user KHÔNG thuộc project</t>
  </si>
  <si>
    <t>400 — "Người được giao việc phải là thành viên của đề tài"</t>
  </si>
  <si>
    <t>Service SELECT ResearchMember WHERE project_id=... AND user_id=assignee_id → không có kết quả thì raise 400 trước khi insert task, tránh insert xong rồi mới phát hiện assignee không hợp lệ.</t>
  </si>
  <si>
    <t>status="HOT" (giá trị ngoài Enum)</t>
  </si>
  <si>
    <t>422 — Pydantic tự chặn, không lọt tới DB</t>
  </si>
  <si>
    <t>TaskStatus/TaskPriority là Enum trong Pydantic schema → Pydantic tự validate value có nằm trong danh sách hợp lệ không, sai thì raise 422 ngay ở tầng schema, request không chạm được vào service.</t>
  </si>
  <si>
    <t>title rỗng ""</t>
  </si>
  <si>
    <t>Field(min_length=1) trên title chặn chuỗi rỗng ở tầng Pydantic tương tự case tên project Buổi 3 bước 3.</t>
  </si>
  <si>
    <t>due_date là một ngày trong quá khứ</t>
  </si>
  <si>
    <t>Nên bị chặn nếu nghiệp vụ yêu cầu due_date phải ở tương lai</t>
  </si>
  <si>
    <t>Giả định cần xác nhận: hệ thống hiện có validate due_date &gt;= hôm nay không — nếu chưa, task có thể 'quá hạn' ngay từ lúc vừa tạo, cần cân nhắc bổ sung field_validator</t>
  </si>
  <si>
    <t>422 (giả định, cần xác nhận có validate due_date)</t>
  </si>
  <si>
    <t>Nếu chưa có field_validator so sánh due_date với datetime.now(), Pydantic sẽ CHO QUA giá trị này vì về mặt kiểu dữ liệu nó vẫn là 1 date hợp lệ — đây là lỗ hổng nghiệp vụ (không phải lỗi kỹ thuật) cần bổ sung nếu muốn chặn.</t>
  </si>
  <si>
    <t>id là project đã bị soft-delete (dùng lại id ở Buổi 3 bước 21)</t>
  </si>
  <si>
    <t>404 — project không tồn tại (đã lọc is_deleted=False)</t>
  </si>
  <si>
    <t>get_project_or_404 (đã lọc is_deleted=False) chạy trước khi vào logic tạo task cho project đó → project đã xóa mềm coi như không tồn tại, raise 404 trước khi kịp insert bất kỳ task nào.</t>
  </si>
  <si>
    <t>GET .../research-tasks?status=TODO&amp;page=1&amp;page_size=5</t>
  </si>
  <si>
    <t>Token member</t>
  </si>
  <si>
    <t>200 — đúng filter + đúng số lượng theo page_size</t>
  </si>
  <si>
    <t>Query áp .filter(status=...) rồi .offset()/.limit() theo page/page_size để phân trang, trả kèm total_count nếu response có field đó.</t>
  </si>
  <si>
    <t>GET .../research-tasks?page=0&amp;page_size=0</t>
  </si>
  <si>
    <t>Cần có hành vi rõ ràng, không được lỗi 500</t>
  </si>
  <si>
    <t>Giả định cần xác nhận: page=0 hoặc page_size=0 nên trả 422 (validate ge=1) hay tự fallback về giá trị mặc định — cần chọn 1 phương án và áp dụng nhất quán</t>
  </si>
  <si>
    <t>422 hoặc fallback mặc định (cần chốt hành vi)</t>
  </si>
  <si>
    <t>Nếu param có Query(..., ge=1) thì page=0 sẽ bị Pydantic chặn ở tầng validate (422); nếu không khai báo ge=1, giá trị 0 hoặc âm sẽ lọt xuống query offset/limit và có thể gây SQL kỳ lạ hoặc trả về toàn bộ dữ liệu — cần rà lại khai báo Query() có ràng buộc ge=1 chưa.</t>
  </si>
  <si>
    <t>GET .../research-tasks?status=TODO&amp;priority=HIGH&amp;assignee_id=&lt;X&gt;</t>
  </si>
  <si>
    <t>Kết hợp 3 điều kiện lọc cùng lúc</t>
  </si>
  <si>
    <t>200 — kết quả thỏa ĐỒNG THỜI cả 3 điều kiện (AND), không phải chỉ 1 trong 3 (OR)</t>
  </si>
  <si>
    <t>Mỗi điều kiện filter được nối bằng .filter() liên tiếp trong SQLAlchemy (tương đương AND trong SQL) → 3 điều kiện cùng áp dụng đồng thời lên 1 câu SELECT duy nhất, không phải 3 câu query rồi hợp OR.</t>
  </si>
  <si>
    <t>GET /research-tasks/{task_id}</t>
  </si>
  <si>
    <t>Path phẳng, không cần project_id trên URL</t>
  </si>
  <si>
    <t>200 — chi tiết task, vẫn check user thuộc đúng project của task đó</t>
  </si>
  <si>
    <t>Vì path không có project_id, handler phải tự query Task theo task_id trước để suy ra project_id của nó, rồi mới check current_user có phải member của project đó không — thiếu bước suy ngược này sẽ là lỗ hổng cho phép xem task của project khác.</t>
  </si>
  <si>
    <t>task_id không tồn tại</t>
  </si>
  <si>
    <t>SELECT ResearchTask WHERE id=task_id không ra kết quả → raise 404 trước khi thử tra project_id, tránh lỗi None khi truy cập task.project_id ở bước sau.</t>
  </si>
  <si>
    <t>Token user KHÔNG thuộc project chứa task đó</t>
  </si>
  <si>
    <t>Sau khi tìm được task, suy ra project_id → check thành viên project đó → không thuộc thì raise 403, dữ liệu chi tiết task không được trả ra dù đã biết task tồn tại.</t>
  </si>
  <si>
    <t>PATCH /research-tasks/{task_id}</t>
  </si>
  <si>
    <t>Body {} rỗng</t>
  </si>
  <si>
    <t>Cùng cơ chế exclude_unset=True như PATCH project ở Buổi 3 bước 11 — dict rỗng thì raise 400 trước khi update.</t>
  </si>
  <si>
    <t>Đổi assignee_id sang user ngoài project</t>
  </si>
  <si>
    <t>400 — validate lại giống lúc tạo (không cho gán người ngoài project)</t>
  </si>
  <si>
    <t>PATCH tái sử dụng đúng hàm validate assignee thuộc project như lúc tạo (bước 3) — nếu code PATCH viết logic validate riêng không đồng bộ, đây là chỗ dễ phát sinh 2 tiêu chuẩn khác nhau giữa Create và Update.</t>
  </si>
  <si>
    <t>Chỉ gửi 1 field duy nhất, ví dụ {"status": "DONE"}</t>
  </si>
  <si>
    <t>200 — chỉ field status đổi, các field khác (title, priority...) giữ nguyên nhờ exclude_unset=True</t>
  </si>
  <si>
    <t>exclude_unset=True lấy dict chỉ gồm field {status: ...} → SQLAlchemy chỉ set đúng field đó lên object rồi commit, các field khác trong object giữ nguyên giá trị cũ trong bộ nhớ/DB.</t>
  </si>
  <si>
    <t>Giống bước 12, hàm lấy task theo id raise 404 sớm trước khi PATCH bất kỳ field nào.</t>
  </si>
  <si>
    <t>DELETE /research-tasks/{task_id}</t>
  </si>
  <si>
    <t>Token của MEMBER thường (không phải OWNER đề tài)</t>
  </si>
  <si>
    <t>403 — "Chỉ OWNER của đề tài được xóa nhiệm vụ"</t>
  </si>
  <si>
    <t>Dependency check quyền xóa task đọc role của current_user trong ResearchMember của project chứa task → khác OWNER thì raise 403, kể cả khi user đó chính là assignee của task.</t>
  </si>
  <si>
    <t>Token OWNER đề tài</t>
  </si>
  <si>
    <t>Role OWNER được xác nhận → DELETE thật (hard delete) bản ghi ResearchTask khỏi DB (khác với soft delete của Project) → trả 204 không nội dung.</t>
  </si>
  <si>
    <t>task_id không tồn tại (đã xóa ở bước 19, gọi lại lần 2)</t>
  </si>
  <si>
    <t>Query DELETE theo id không tìm thấy bản ghi (do đã xóa ở bước 19) → raise 404 thay vì âm thầm trả 204 dù không xóa được gì.</t>
  </si>
  <si>
    <t>task thuộc project đã bị soft-delete ở buổi 3</t>
  </si>
  <si>
    <t>Cần thống nhất: task có bị 'ẩn' theo khi project bị xóa mềm không</t>
  </si>
  <si>
    <t>Giả định cần xác nhận: khi project bị soft-delete, các task con có tự động bị chặn truy cập theo (404/403) hay vẫn truy cập được bình thường — nếu chưa xử lý, đây là lỗ hổng nghiệp vụ cần vá</t>
  </si>
  <si>
    <t>404 hoặc 403 (cần xác nhận, chưa chắc đã xử lý)</t>
  </si>
  <si>
    <t>Cần xác nhận: get_project_or_404 dùng khi lấy task có tự động join kiểm tra project.is_deleted không — nếu quên, task của project đã xóa mềm vẫn truy cập được bình thường, đây là lỗ hổng logic cần vá đồng bộ với quy tắc soft delete ở Buổi 3.</t>
  </si>
  <si>
    <t>Chạy lại toàn bộ case lỗi ở Buổi 2-4 qua Swagger</t>
  </si>
  <si>
    <t>Theo checklist test đã lập</t>
  </si>
  <si>
    <t>Không còn case nào trả nhầm 500 cho lỗi nghiệp vụ thông thường</t>
  </si>
  <si>
    <t>— (rerun toàn bộ checklist, không phải 1 mã riêng)</t>
  </si>
  <si>
    <t>Không phải 1 luồng code riêng — đây là bước hồi quy (regression): chạy lại toàn bộ case ở bước trên sau khi đã refactor exception_handlers, để đảm bảo việc tách IntegrityError/SQLAlchemyError không vô tình làm hỏng các case cũ.</t>
  </si>
  <si>
    <t>POST /research-projects/{id}/documents</t>
  </si>
  <si>
    <t>Upload file .pdf hợp lệ, &lt;10MB</t>
  </si>
  <si>
    <t>201 — lưu file, trả metadata (không trả path thật ra ngoài nếu có che)</t>
  </si>
  <si>
    <t>UploadFile đọc file dạng stream → check content_type/đuôi file nằm trong whitelist → check size &lt;= giới hạn → sinh uuid4() làm tên file vật lý → lưu file vào thư mục uploads/ → insert record ResearchDocument lưu cả tên gốc (file_name) lẫn tên lưu (uuid).</t>
  </si>
  <si>
    <t>POST .../documents</t>
  </si>
  <si>
    <t>Upload file .exe hoặc đuôi lạ</t>
  </si>
  <si>
    <t>400 — chặn bởi whitelist định dạng</t>
  </si>
  <si>
    <t>Check đuôi file (file.filename.split('.')[-1] hoặc content_type) so với whitelist TRƯỚC KHI ghi file xuống đĩa → sai định dạng raise 400 ngay, không có file rác nào được tạo ra trong uploads/.</t>
  </si>
  <si>
    <t>Upload file &gt;10MB</t>
  </si>
  <si>
    <t>400 — "File vượt quá dung lượng cho phép"</t>
  </si>
  <si>
    <t>Đọc file.size (hoặc đếm byte khi stream) so với ngưỡng MAX_SIZE TRƯỚC hoặc TRONG lúc ghi file → vượt ngưỡng thì raise 400 và xóa phần file tạm đã ghi dở (nếu có), không để sót file rác nửa chừng trên đĩa.</t>
  </si>
  <si>
    <t>Upload file đúng biên 10MB (test boundary)</t>
  </si>
  <si>
    <t>Cần xác định rõ mốc so sánh</t>
  </si>
  <si>
    <t>Giả định cần xác nhận: điều kiện so sánh dùng "&gt; 10MB" hay "&gt;= 10MB" — sai lệch 1 byte ở biên là lỗi hay gặp, cần test thực tế và ghi rõ vào code/comment</t>
  </si>
  <si>
    <t>201 hoặc 400 (tùy mốc so sánh biên)</t>
  </si>
  <si>
    <t>Cần xác nhận code so sánh 'file.size &gt; MAX_SIZE' (chặn đúng &gt;10MB, cho phép =10MB) hay '&gt;=' (chặn cả đúng 10MB) — sai lệch ở dấu so sánh là lỗi biên (off-by-one) rất dễ gặp, nên test cả 2 phía của mốc 10MB.</t>
  </si>
  <si>
    <t>Không đính kèm file nào (thiếu multipart field)</t>
  </si>
  <si>
    <t>FastAPI báo thiếu field bắt buộc kiểu UploadFile trong multipart/form-data → lỗi xảy ra ở tầng parse request của FastAPI, route handler chưa từng được gọi tới.</t>
  </si>
  <si>
    <t>Upload file 0 byte (file rỗng)</t>
  </si>
  <si>
    <t>Nên có quy định rõ ràng, tránh lưu rác vô nghĩa</t>
  </si>
  <si>
    <t>Giả định cần xác nhận: file 0 byte có bị chặn (400) hay vẫn được lưu thành công như file bình thường — nếu chưa xử lý, cần bổ sung kiểm tra size &gt; 0</t>
  </si>
  <si>
    <t>400 (giả định) hoặc 201 nếu chưa chặn</t>
  </si>
  <si>
    <t>Cần xác nhận có check file.size &gt; 0 hay không — nếu chỉ check 'size vượt max' mà quên check 'size = 0', file rỗng vẫn được coi là hợp lệ và lưu thành 1 record vô nghĩa trong DB.</t>
  </si>
  <si>
    <t>filename cố tình chứa "../../"</t>
  </si>
  <si>
    <t>Vẫn lưu an toàn trong thư mục uploads/ (không path traversal, do dùng uuid làm tên lưu)</t>
  </si>
  <si>
    <t>Tên lưu vật lý luôn là uuid4() + đuôi file (KHÔNG dùng file.filename gốc để đặt tên trên đĩa) → dù filename gửi lên chứa '../../', giá trị đó chỉ được lưu vào cột file_name (text) để hiển thị, không bao giờ được ghép trực tiếp vào đường dẫn os.path khi ghi file.</t>
  </si>
  <si>
    <t>Upload bởi user KHÔNG thuộc project</t>
  </si>
  <si>
    <t>Check thành viên project (giống Buổi 4 bước 2) chạy trước khi cho phép upload → không phải member thì raise 403, file không được ghi xuống đĩa.</t>
  </si>
  <si>
    <t>DELETE /research-projects/{id}/documents/{doc_id}</t>
  </si>
  <si>
    <t>OWNER hoặc member xóa tài liệu đã upload</t>
  </si>
  <si>
    <t>204 — xóa cả file vật lý lẫn record DB</t>
  </si>
  <si>
    <t>DELETE trước tiên xóa file vật lý bằng os.remove(path lưu trong DB) rồi mới xóa record ResearchDocument trong DB (hoặc ngược lại) trong cùng 1 transaction — nếu chỉ xóa 1 trong 2 sẽ để lại rác (file mồ côi hoặc record trỏ tới file không tồn tại).</t>
  </si>
  <si>
    <t>DELETE .../documents/{doc_id}</t>
  </si>
  <si>
    <t>doc_id không tồn tại</t>
  </si>
  <si>
    <t>Query ResearchDocument WHERE id=doc_id không ra kết quả → raise 404 trước khi thử gọi os.remove(), tránh lỗi FileNotFoundError không kiểm soát nếu path không tồn tại.</t>
  </si>
  <si>
    <t>Gọi bởi user KHÔNG thuộc project</t>
  </si>
  <si>
    <t>Check quyền thành viên project chứa document trước khi cho xóa — người ngoài project dù biết đúng doc_id cũng bị chặn ở bước phân quyền.</t>
  </si>
  <si>
    <t>GET /research-projects/{id}/documents/{doc_id} hoặc tương đương</t>
  </si>
  <si>
    <t>id truyền sai kiểu, ví dụ project id = "abc"</t>
  </si>
  <si>
    <t>422 — validate kiểu path param, không rơi vào 500</t>
  </si>
  <si>
    <t>FastAPI convert path param theo type hint (int) trước khi vào handler → giá trị không convert được raise 422 ở tầng routing, không có exception nào từ code nghiệp vụ cần xử lý thêm ở đây.</t>
  </si>
  <si>
    <t>Tạo 2 request POST /research-projects trùng tên gần như đồng thời (race condition)</t>
  </si>
  <si>
    <t>Cùng 1 user A, gửi 2 request song song</t>
  </si>
  <si>
    <t>Không được để lọt 2 bản ghi trùng nhau xuống DB</t>
  </si>
  <si>
    <t>Giả định cần xác nhận: IntegrityError (nếu có unique constraint ở DB) phải được bắt riêng và trả 409, không phải để lộ 500 — cần test thực tế bằng 2 request song song, không chỉ test tuần tự</t>
  </si>
  <si>
    <t>409 (giả định, cần test race condition thật)</t>
  </si>
  <si>
    <t>Nếu có UNIQUE constraint ở tầng DB cho (owner_id, LOWER(name)), 2 request gửi gần như đồng thời có thể cùng vượt qua bước SELECT check trùng (race condition) rồi cùng INSERT — lúc đó DB sẽ raise IntegrityError cho request thua cuộc, và exception_handlers phải bắt được lỗi này để trả 409 thay vì 500.</t>
  </si>
  <si>
    <t>Ngắt kết nối MySQL giữa lúc app đang chạy rồi gọi bất kỳ API nào</t>
  </si>
  <si>
    <t>Bất kỳ endpoint nào cần truy vấn DB</t>
  </si>
  <si>
    <t>503 — SQLAlchemyError được bắt riêng, không rơi vào lỗi 500 chung chung</t>
  </si>
  <si>
    <t>503</t>
  </si>
  <si>
    <t>Khi kết nối MySQL bị ngắt giữa chừng, SQLAlchemy raise OperationalError (kế thừa từ SQLAlchemyError) → exception_handlers bắt riêng SQLAlchemyError để trả 503 'Không thể kết nối cơ sở dữ liệu' thay vì để lộ traceback thành lỗi 500 mặc định của FastAPI.</t>
  </si>
  <si>
    <t>Mở Swagger UI (/docs), rà toàn bộ danh sách endpoint</t>
  </si>
  <si>
    <t>Không cần gọi API, chỉ kiểm tra tài liệu</t>
  </si>
  <si>
    <t>Mọi endpoint đều có summary/description/tags/response model đầy đủ, không lỗi hiển thị schema</t>
  </si>
  <si>
    <t>— (kiểm tra tài liệu Swagger, không phải request API)</t>
  </si>
  <si>
    <t>Không phải luồng xử lý runtime — đây là kiểm tra tĩnh: FastAPI tự sinh OpenAPI schema từ docstring/Field description/response_model đã khai báo trên từng route, chỉ cần rà bằng mắt trên trang /docs xem có phần nào bị thiếu.</t>
  </si>
  <si>
    <t>Chú giải: "Mã lỗi (HTTP Status)" là mã kỳ vọng trả về cho từng bước test; ô có "—" nghĩa là bước đó không gắn với 1 status code cụ thể. "Đã hoàn thành": ✓ = hành vi đã rõ ràng/coi như đã test xong, ☐ = còn giả định ở cột G cần chạy thực tế để xác nhận trước khi tick. Cột "Kết quả Pass/Fail" và "Điểm chấm" (nền vàng) dành cho giảng viên điền khi chấm.</t>
  </si>
  <si>
    <t>2. GIẢI TRÌNH: TẠI SAO CHỌN CÁCH NÀY MÀ KHÔNG DÙNG CÁCH KHÁC (Buổi 1 → Buổi 5)</t>
  </si>
  <si>
    <t>Câu hỏi giảng viên có thể hỏi</t>
  </si>
  <si>
    <t>Trả lời / Lý do chọn</t>
  </si>
  <si>
    <t>Vì sao dùng SQLAlchemy làm ORM thay vì raw MySQL connector hoặc ORM khác (Tortoise, Peewee)?</t>
  </si>
  <si>
    <t>SQLAlchemy là ORM phổ biến và ổn định nhất khi dùng chung với FastAPI, hỗ trợ tốt session, relationship 2 chiều, và tích hợp mượt với Pydantic qua from_attributes — phù hợp với quy mô và thời gian của đồ án 5 buổi.</t>
  </si>
  <si>
    <t>Vì sao tạo engine với pool_pre_ping=True?</t>
  </si>
  <si>
    <t>Tránh lỗi "MySQL server has gone away" khi kết nối bị MySQL tự ngắt do idle quá lâu — engine sẽ ping thử kết nối trước khi giao cho request dùng, thay vì để lỗi rơi thẳng xuống người dùng cuối.</t>
  </si>
  <si>
    <t>Vì sao get_db() viết dạng generator (dùng yield) thay vì tạo Session trực tiếp trong từng route?</t>
  </si>
  <si>
    <t>Đảm bảo session luôn được đóng lại sau mỗi request dù thành công hay lỗi (try/finally), tận dụng cơ chế Dependency Injection của FastAPI để tái sử dụng logic mở/đóng session ở một chỗ duy nhất, tránh leak connection.</t>
  </si>
  <si>
    <t>Vì sao dùng Base.metadata.create_all() thay vì Alembic migration ngay từ đầu?</t>
  </si>
  <si>
    <t>Đồ án 5 buổi ưu tiên tốc độ hoàn thiện chức năng trên một DB khởi tạo mới hoàn toàn; create_all() đủ đáp ứng. Alembic phù hợp hơn với dự án dài hạn cần version hoá schema qua nhiều lần thay đổi cấu trúc bảng theo thời gian.</t>
  </si>
  <si>
    <t>Vì sao đọc cấu hình (SECRET_KEY, DATABASE_URL...) qua pydantic-settings và file .env thay vì hardcode trong code?</t>
  </si>
  <si>
    <t>Tách cấu hình nhạy cảm ra khỏi source code, dễ đổi giá trị giữa môi trường dev/test/production mà không phải sửa code hay commit lại, đúng nguyên tắc 12-factor app và tránh lộ secret khi đẩy code lên Git.</t>
  </si>
  <si>
    <t>Vì sao tách riêng core/exception_handlers.py thay vì raise HTTPException rải rác trong từng route?</t>
  </si>
  <si>
    <t>Tập trung toàn bộ logic xử lý lỗi (404/400/403 và sau này là IntegrityError/SQLAlchemyError) về một nơi duy nhất, đảm bảo format lỗi trả về thống nhất cho mọi endpoint, dễ maintain và mở rộng thêm loại lỗi mới về sau.</t>
  </si>
  <si>
    <t>Vì sao /auth/login nhận form-data (OAuth2PasswordRequestForm) thay vì JSON body?</t>
  </si>
  <si>
    <t>Đây là chuẩn OAuth2 Password Flow mà FastAPI quy định — nút "Authorize" trên Swagger chỉ hoạt động được khi login nhận form-data theo chuẩn này, dùng JSON sẽ mất khả năng test trực tiếp qua Swagger UI.</t>
  </si>
  <si>
    <t>Vì sao hash password bằng bcrypt/passlib thay vì tự viết SHA256 hoặc MD5?</t>
  </si>
  <si>
    <t>bcrypt tự sinh salt ngẫu nhiên cho từng password và có chi phí tính toán chậm có chủ đích, chống rainbow table và brute-force hiệu quả hơn hẳn các hàm băm nhanh như SHA256/MD5 — đây là chuẩn công nghiệp để lưu mật khẩu.</t>
  </si>
  <si>
    <t>Vì sao dùng JWT (stateless) thay vì session-based authentication (cookie + lưu session server-side)?</t>
  </si>
  <si>
    <t>JWT không cần server lưu trạng thái đăng nhập, phù hợp kiến trúc REST API thuần và dễ scale ngang sau này (nhiều instance không cần chia sẻ session store); đồng thời đúng chuẩn OAuth2PasswordBearer mà FastAPI/Swagger hỗ trợ sẵn.</t>
  </si>
  <si>
    <t>Vì sao phân quyền chỉ bằng 1 field role (USER/ADMIN) trong bảng User thay vì thiết kế bảng Role/Permission riêng?</t>
  </si>
  <si>
    <t>Phạm vi đồ án chỉ có 2 vai trò cố định và không có yêu cầu phân quyền động, một field đơn giản là đủ; tách riêng bảng Role/Permission linh hoạt hơn nhưng là over-engineering không cần thiết cho quy mô 5 buổi.</t>
  </si>
  <si>
    <t>Vì sao thiết kế quan hệ N-N giữa User và ResearchProject qua bảng trung gian ResearchMember thay vì 1 cột owner_id duy nhất trên ResearchProject?</t>
  </si>
  <si>
    <t>Đề bài yêu cầu 1 đề tài có nhiều thành viên với vai trò khác nhau (OWNER/MEMBER); chỉ 1 cột owner_id sẽ không lưu được danh sách thành viên và vai trò riêng của từng người, nên bắt buộc phải có bảng trung gian N-N.</t>
  </si>
  <si>
    <t>Vì sao xóa đề tài dùng soft delete (is_deleted/deleted_at) thay vì xóa cứng (DELETE khỏi DB)?</t>
  </si>
  <si>
    <t>Giữ lại toàn bộ dữ liệu con (tasks, members) để có thể khôi phục hoặc tra cứu lại sau này, tránh mất dữ liệu vĩnh viễn chỉ vì OWNER bấm nhầm nút xóa — đây cũng là yêu cầu "Nâng cao: Soft delete" trong bảng task.</t>
  </si>
  <si>
    <t>Vì sao check trùng tên đề tài so sánh không phân biệt hoa/thường (LOWER)?</t>
  </si>
  <si>
    <t>Tránh trường hợp "AI Research" và "ai research" bị coi là 2 đề tài khác nhau một cách tình cờ, trong khi về mặt nghiệp vụ đó là cùng 1 tên.</t>
  </si>
  <si>
    <t>Vì sao create_project dùng flush() rồi mới commit(), thay vì commit() 2 lần liên tiếp?</t>
  </si>
  <si>
    <t>Đảm bảo tính atomic: nếu insert ResearchMember (OWNER) thất bại sau khi đã insert ResearchProject, flush() giúp cả 2 thao tác nằm chung 1 transaction nên rollback cùng nhau — tránh trường hợp có project nhưng không có OWNER nào.</t>
  </si>
  <si>
    <t>Vì sao GET/PATCH/DELETE task dùng path phẳng /research-tasks/{id} thay vì lồng dưới project như lúc tạo (/research-projects/{id}/research-tasks/{id})?</t>
  </si>
  <si>
    <t>Vì đề bài yêu cầu đúng định dạng /research-tasks/{id}, và task_id đã là duy nhất toàn hệ thống nên không bắt buộc phải biết project_id mới truy vấn được — khác với hành động Tạo/Liệt kê vốn cần biết rõ thuộc project nào.</t>
  </si>
  <si>
    <t>Vì sao dùng Enum (TaskStatus/TaskPriority) thay vì cho phép client gửi chuỗi tự do?</t>
  </si>
  <si>
    <t>Chặn dữ liệu rác ngay ở tầng validate Pydantic (trả 422 rõ ràng), thay vì để giá trị status không xác định lọt xuống DB rồi mới phát hiện lỗi lúc hiển thị hoặc filter.</t>
  </si>
  <si>
    <t>Vì sao chỉ OWNER được xóa task, MEMBER thường thì không, kể cả assignee của task đó?</t>
  </si>
  <si>
    <t>Model ResearchTask hiện không lưu người tạo (created_by), nên không thể phân biệt "ai tạo ra task này" để cho phép riêng người đó xóa — dùng lại đúng quy tắc OWNER-only đã áp dụng nhất quán cho Project để tránh 2 chuẩn phân quyền khác nhau trong cùng hệ thống.</t>
  </si>
  <si>
    <t>Vì sao tự viết phân trang limit/offset (hoặc page/size) thay vì dùng thư viện có sẵn (vd fastapi-pagination)?</t>
  </si>
  <si>
    <t>Đề bài không bắt buộc dùng thư viện ngoài; tự viết giúp kiểm soát rõ format response, dễ giải trình từng dòng logic khi giảng viên hỏi trực tiếp, và tránh phụ thuộc thêm package không cần thiết cho phạm vi đồ án.</t>
  </si>
  <si>
    <t>Vì sao PATCH dùng exclude_unset=True thay vì yêu cầu client luôn gửi đủ toàn bộ field?</t>
  </si>
  <si>
    <t>Đúng ngữ nghĩa PATCH (cập nhật một phần) theo chuẩn REST — tránh việc thiếu field trong request bị hiểu nhầm thành "xóa/ghi đè về giá trị mặc định", chỉ field nào client thực sự gửi lên mới được cập nhật.</t>
  </si>
  <si>
    <t>Vì sao tách riêng IntegrityError/SQLAlchemyError thay vì gộp chung vào 1 Exception handler?</t>
  </si>
  <si>
    <t>Trả đúng mã lỗi ngữ nghĩa cho từng loại lỗi (409 khi trùng dữ liệu/vi phạm ràng buộc, 503 khi mất kết nối DB) thay vì luôn trả 500 chung chung — dễ debug hơn và đúng chuẩn REST hơn khi giảng viên test case lỗi.</t>
  </si>
  <si>
    <t>Vì sao Attachment không lưu file bằng đúng tên gốc (file.filename) mà sinh UUID ngẫu nhiên?</t>
  </si>
  <si>
    <t>Chặn lỗ hổng path traversal (client có thể gửi filename dạng "../../app/main.py" để ghi đè file hệ thống) và tránh 2 người upload trùng tên file thì ghi đè âm thầm lẫn nhau. Tên gốc vẫn được lưu ở cột file_name để hiển thị cho người dùng, chỉ không dùng làm đường dẫn vật lý.</t>
  </si>
  <si>
    <t>Vì sao dùng UploadFile của FastAPI thay vì đọc file thô trực tiếp từ Request?</t>
  </si>
  <si>
    <t>UploadFile xử lý file dạng stream, không load toàn bộ nội dung vào RAM cùng lúc như đọc thô, đồng thời có sẵn thuộc tính filename/content_type và tương thích chuẩn multipart/form-data mà Swagger UI hỗ trợ test trực tiếp.</t>
  </si>
  <si>
    <t>Vì sao viết checklist test thủ công qua Swagger/Postman thay vì viết unit test tự động (pytest) ngay từ đầu?</t>
  </si>
  <si>
    <t>Trong phạm vi 5 buổi, ưu tiên hoàn thiện đầy đủ chức năng nghiệp vụ và các case lỗi trước; test thủ công qua Swagger đủ để giảng viên kiểm tra trực tiếp ngay tại chỗ. Viết unit test tự động là hướng mở rộng tiếp theo nếu có thêm thời gian.</t>
  </si>
  <si>
    <t>Vì sao created_at/updated_at dùng datetime.now (giờ hệ thống) thay vì func.now()/utcnow()?</t>
  </si>
  <si>
    <t>Máy chạy demo đã đặt sẵn múi giờ Việt Nam, nên datetime.now() trả về đúng giờ VN mà không cần xử lý timezone phức tạp — func.now() tính ở phía DB server và utcnow() luôn là giờ quốc tế, có thể lệch 7 tiếng nếu không cấu hình thêm.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</si>
</sst>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1"/>
    </font>
    <font>
      <b/>
      <sz val="16"/>
      <color rgb="FF1F4E78"/>
      <name val="Arial"/>
      <charset val="1"/>
    </font>
    <font>
      <i/>
      <sz val="10"/>
      <color rgb="FF595959"/>
      <name val="Arial"/>
      <charset val="1"/>
    </font>
    <font>
      <b/>
      <sz val="10"/>
      <name val="Arial"/>
      <charset val="1"/>
    </font>
    <font>
      <sz val="10"/>
      <name val="Arial"/>
      <charset val="1"/>
    </font>
    <font>
      <b/>
      <sz val="12"/>
      <color rgb="FF1F4E78"/>
      <name val="Arial"/>
      <charset val="1"/>
    </font>
    <font>
      <b/>
      <sz val="11"/>
      <color rgb="FFFFFFFF"/>
      <name val="Arial"/>
      <charset val="1"/>
    </font>
    <font>
      <sz val="10"/>
      <color rgb="FF006100"/>
      <name val="Arial"/>
      <charset val="1"/>
    </font>
    <font>
      <sz val="10"/>
      <color rgb="FF9C6500"/>
      <name val="Arial"/>
      <charset val="1"/>
    </font>
    <font>
      <b/>
      <sz val="10"/>
      <color rgb="FFFFFFFF"/>
      <name val="Arial"/>
      <charset val="1"/>
    </font>
    <font>
      <sz val="9"/>
      <name val="Arial"/>
      <charset val="1"/>
    </font>
    <font>
      <sz val="9"/>
      <color rgb="FF006100"/>
      <name val="Arial"/>
      <charset val="1"/>
    </font>
    <font>
      <sz val="9"/>
      <color rgb="FF9C6500"/>
      <name val="Arial"/>
      <charset val="1"/>
    </font>
    <font>
      <b/>
      <sz val="11"/>
      <color rgb="FF1F4E78"/>
      <name val="Arial"/>
      <charset val="1"/>
    </font>
    <font>
      <b/>
      <sz val="9"/>
      <name val="Arial"/>
      <charset val="1"/>
    </font>
    <font>
      <i/>
      <sz val="9"/>
      <name val="Arial"/>
      <charset val="1"/>
    </font>
    <font>
      <b/>
      <sz val="14"/>
      <color rgb="FF1F4E78"/>
      <name val="Arial"/>
      <charset val="1"/>
    </font>
    <font>
      <sz val="10"/>
      <name val="Arial"/>
    </font>
    <font>
      <i/>
      <sz val="10"/>
      <color rgb="FF806000"/>
      <name val="Arial"/>
    </font>
    <font>
      <i/>
      <sz val="9"/>
      <color rgb="FF595959"/>
      <name val="Arial"/>
    </font>
    <font>
      <b/>
      <sz val="12"/>
      <color rgb="FF2E7D32"/>
      <name val="Arial"/>
    </font>
  </fonts>
  <fills count="10">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C6EFCE"/>
        <bgColor rgb="FFD9E1F2"/>
      </patternFill>
    </fill>
    <fill>
      <patternFill patternType="solid">
        <fgColor rgb="FFFFEB9C"/>
        <bgColor rgb="FFFCE4D6"/>
      </patternFill>
    </fill>
    <fill>
      <patternFill patternType="solid">
        <fgColor rgb="FFFCE4D6"/>
        <bgColor rgb="FFEFEFEF"/>
      </patternFill>
    </fill>
    <fill>
      <patternFill patternType="solid">
        <fgColor rgb="FFD9E1F2"/>
        <bgColor rgb="FFD9D9D9"/>
      </patternFill>
    </fill>
    <fill>
      <patternFill patternType="solid">
        <fgColor rgb="FFEFEFEF"/>
        <bgColor rgb="FFFCE4D6"/>
      </patternFill>
    </fill>
    <fill>
      <patternFill patternType="solid">
        <fgColor rgb="FFFFF2CC"/>
      </patternFill>
    </fill>
  </fills>
  <borders count="6">
    <border>
      <left/>
      <right/>
      <top/>
      <bottom/>
      <diagonal/>
    </border>
    <border>
      <left style="thin">
        <color rgb="FFB7B7B7"/>
      </left>
      <right style="thin">
        <color rgb="FFB7B7B7"/>
      </right>
      <top style="thin">
        <color rgb="FFB7B7B7"/>
      </top>
      <bottom style="thin">
        <color rgb="FFB7B7B7"/>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1">
    <xf numFmtId="0" fontId="0" fillId="0" borderId="0" xfId="0"/>
    <xf numFmtId="0" fontId="3" fillId="0" borderId="0" xfId="0" applyFont="1"/>
    <xf numFmtId="0" fontId="1" fillId="0" borderId="0" xfId="0" applyFont="1"/>
    <xf numFmtId="0" fontId="2" fillId="0" borderId="0" xfId="0" applyFont="1"/>
    <xf numFmtId="0" fontId="4" fillId="0" borderId="0" xfId="0" applyFont="1"/>
    <xf numFmtId="0" fontId="4" fillId="2" borderId="0" xfId="0" applyFont="1" applyFill="1"/>
    <xf numFmtId="0" fontId="5" fillId="0" borderId="0" xfId="0" applyFont="1"/>
    <xf numFmtId="0" fontId="6" fillId="3" borderId="1" xfId="0" applyFont="1" applyFill="1" applyBorder="1" applyAlignment="1">
      <alignment horizontal="center" vertical="center" wrapText="1"/>
    </xf>
    <xf numFmtId="0" fontId="4" fillId="0" borderId="1" xfId="0" applyFont="1" applyBorder="1" applyAlignment="1">
      <alignment vertical="center" wrapText="1"/>
    </xf>
    <xf numFmtId="0" fontId="7" fillId="4" borderId="1" xfId="0" applyFont="1" applyFill="1" applyBorder="1" applyAlignment="1">
      <alignment vertical="center" wrapText="1"/>
    </xf>
    <xf numFmtId="0" fontId="8" fillId="5" borderId="1" xfId="0" applyFont="1" applyFill="1" applyBorder="1" applyAlignment="1">
      <alignment vertical="center" wrapText="1"/>
    </xf>
    <xf numFmtId="0" fontId="9" fillId="3" borderId="1" xfId="0" applyFont="1" applyFill="1" applyBorder="1" applyAlignment="1">
      <alignment horizontal="center" vertical="center" wrapText="1"/>
    </xf>
    <xf numFmtId="0" fontId="10" fillId="0" borderId="1" xfId="0" applyFont="1" applyBorder="1" applyAlignment="1">
      <alignment vertical="center" wrapText="1"/>
    </xf>
    <xf numFmtId="0" fontId="10" fillId="6" borderId="1" xfId="0" applyFont="1" applyFill="1" applyBorder="1" applyAlignment="1">
      <alignment vertical="center" wrapText="1"/>
    </xf>
    <xf numFmtId="0" fontId="11" fillId="4" borderId="1" xfId="0" applyFont="1" applyFill="1" applyBorder="1" applyAlignment="1">
      <alignment vertical="center" wrapText="1"/>
    </xf>
    <xf numFmtId="0" fontId="0" fillId="2" borderId="1" xfId="0" applyFill="1" applyBorder="1"/>
    <xf numFmtId="0" fontId="12" fillId="5" borderId="1" xfId="0" applyFont="1" applyFill="1" applyBorder="1" applyAlignment="1">
      <alignment vertical="center" wrapText="1"/>
    </xf>
    <xf numFmtId="0" fontId="13" fillId="7" borderId="1" xfId="0" applyFont="1" applyFill="1" applyBorder="1"/>
    <xf numFmtId="0" fontId="14" fillId="0" borderId="0" xfId="0" applyFont="1"/>
    <xf numFmtId="0" fontId="0" fillId="4" borderId="1" xfId="0" applyFill="1" applyBorder="1"/>
    <xf numFmtId="0" fontId="0" fillId="5" borderId="1" xfId="0" applyFill="1" applyBorder="1"/>
    <xf numFmtId="0" fontId="0" fillId="6" borderId="1" xfId="0" applyFill="1" applyBorder="1"/>
    <xf numFmtId="0" fontId="16" fillId="0" borderId="0" xfId="0" applyFont="1"/>
    <xf numFmtId="14" fontId="4" fillId="2" borderId="0" xfId="0" applyNumberFormat="1" applyFont="1" applyFill="1"/>
    <xf numFmtId="0" fontId="6" fillId="3" borderId="3" xfId="0" applyFont="1" applyFill="1" applyBorder="1" applyAlignment="1">
      <alignment horizontal="center"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18" fillId="0" borderId="3" xfId="0" applyFont="1" applyBorder="1" applyAlignment="1">
      <alignment vertical="top" wrapText="1"/>
    </xf>
    <xf numFmtId="0" fontId="17" fillId="0" borderId="2" xfId="0" applyFont="1" applyBorder="1"/>
    <xf numFmtId="0" fontId="4" fillId="9" borderId="3" xfId="0" applyFont="1" applyFill="1" applyBorder="1" applyAlignment="1">
      <alignment horizontal="center" vertical="top" wrapText="1"/>
    </xf>
    <xf numFmtId="164" fontId="4" fillId="9" borderId="3" xfId="0" applyNumberFormat="1" applyFont="1" applyFill="1" applyBorder="1" applyAlignment="1">
      <alignment horizontal="center" vertical="top" wrapText="1"/>
    </xf>
    <xf numFmtId="0" fontId="19" fillId="0" borderId="2" xfId="0" applyFont="1" applyBorder="1"/>
    <xf numFmtId="0" fontId="5" fillId="0" borderId="2" xfId="0" applyFont="1" applyBorder="1"/>
    <xf numFmtId="0" fontId="20" fillId="0" borderId="3" xfId="0" applyFont="1" applyBorder="1" applyAlignment="1">
      <alignment horizontal="center" vertical="center"/>
    </xf>
    <xf numFmtId="0" fontId="4" fillId="0" borderId="3" xfId="0" applyFont="1" applyBorder="1" applyAlignment="1">
      <alignment horizontal="center" vertical="center"/>
    </xf>
    <xf numFmtId="0" fontId="3" fillId="0" borderId="0" xfId="0" applyFont="1"/>
    <xf numFmtId="0" fontId="0" fillId="0" borderId="0" xfId="0"/>
    <xf numFmtId="0" fontId="15" fillId="0" borderId="0" xfId="0" applyFont="1"/>
    <xf numFmtId="0" fontId="3" fillId="8" borderId="3" xfId="0" applyFont="1" applyFill="1" applyBorder="1" applyAlignment="1">
      <alignment horizontal="center" vertical="center" wrapText="1"/>
    </xf>
    <xf numFmtId="0" fontId="0" fillId="0" borderId="4" xfId="0" applyBorder="1"/>
    <xf numFmtId="0" fontId="0" fillId="0" borderId="5" xfId="0" applyBorder="1"/>
  </cellXfs>
  <cellStyles count="1">
    <cellStyle name="Normal" xfId="0" builtinId="0"/>
  </cellStyles>
  <dxfs count="2">
    <dxf>
      <fill>
        <patternFill patternType="solid">
          <fgColor rgb="FFFCE4E4"/>
          <bgColor rgb="FFFCE4E4"/>
        </patternFill>
      </fill>
    </dxf>
    <dxf>
      <fill>
        <patternFill patternType="solid">
          <fgColor rgb="FFE2F0D9"/>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7B7B7"/>
      <rgbColor rgb="FF808080"/>
      <rgbColor rgb="FF9999FF"/>
      <rgbColor rgb="FF993366"/>
      <rgbColor rgb="FFEFEFEF"/>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9"/>
  <sheetViews>
    <sheetView showGridLines="0" topLeftCell="A7" zoomScale="119" zoomScaleNormal="100" workbookViewId="0">
      <selection activeCell="D15" sqref="D15"/>
    </sheetView>
  </sheetViews>
  <sheetFormatPr defaultColWidth="8.6640625" defaultRowHeight="14.4" x14ac:dyDescent="0.3"/>
  <cols>
    <col min="1" max="1" width="3" customWidth="1"/>
    <col min="2" max="2" width="22.44140625" customWidth="1"/>
    <col min="3" max="3" width="45" customWidth="1"/>
    <col min="4" max="4" width="18" customWidth="1"/>
    <col min="5" max="5" width="45" customWidth="1"/>
  </cols>
  <sheetData>
    <row r="2" spans="2:5" ht="19.5" customHeight="1" x14ac:dyDescent="0.4">
      <c r="B2" s="2" t="s">
        <v>143</v>
      </c>
    </row>
    <row r="3" spans="2:5" ht="15" customHeight="1" x14ac:dyDescent="0.3">
      <c r="B3" s="3" t="s">
        <v>144</v>
      </c>
    </row>
    <row r="5" spans="2:5" ht="15" customHeight="1" x14ac:dyDescent="0.3">
      <c r="B5" s="1" t="s">
        <v>145</v>
      </c>
      <c r="C5" s="4" t="s">
        <v>146</v>
      </c>
    </row>
    <row r="6" spans="2:5" ht="15" customHeight="1" x14ac:dyDescent="0.3">
      <c r="B6" s="1" t="s">
        <v>147</v>
      </c>
      <c r="C6" s="5" t="s">
        <v>148</v>
      </c>
    </row>
    <row r="7" spans="2:5" ht="15" customHeight="1" x14ac:dyDescent="0.3">
      <c r="B7" s="1" t="s">
        <v>149</v>
      </c>
      <c r="C7" s="4" t="s">
        <v>150</v>
      </c>
    </row>
    <row r="8" spans="2:5" ht="15" customHeight="1" x14ac:dyDescent="0.3">
      <c r="B8" s="1" t="s">
        <v>151</v>
      </c>
      <c r="C8" s="4" t="s">
        <v>152</v>
      </c>
    </row>
    <row r="9" spans="2:5" ht="15" customHeight="1" x14ac:dyDescent="0.3">
      <c r="B9" s="1" t="s">
        <v>153</v>
      </c>
      <c r="C9" s="4" t="s">
        <v>154</v>
      </c>
    </row>
    <row r="10" spans="2:5" ht="15" customHeight="1" x14ac:dyDescent="0.3">
      <c r="B10" s="1" t="s">
        <v>155</v>
      </c>
      <c r="C10" s="23">
        <v>46261</v>
      </c>
    </row>
    <row r="12" spans="2:5" ht="15" customHeight="1" x14ac:dyDescent="0.3">
      <c r="B12" s="6" t="s">
        <v>156</v>
      </c>
    </row>
    <row r="13" spans="2:5" ht="15" customHeight="1" x14ac:dyDescent="0.3">
      <c r="B13" s="7" t="s">
        <v>0</v>
      </c>
      <c r="C13" s="7" t="s">
        <v>157</v>
      </c>
      <c r="D13" s="7" t="s">
        <v>5</v>
      </c>
      <c r="E13" s="7" t="s">
        <v>7</v>
      </c>
    </row>
    <row r="14" spans="2:5" ht="23.25" customHeight="1" x14ac:dyDescent="0.3">
      <c r="B14" s="8" t="s">
        <v>8</v>
      </c>
      <c r="C14" s="8" t="s">
        <v>158</v>
      </c>
      <c r="D14" s="9" t="s">
        <v>13</v>
      </c>
      <c r="E14" s="8" t="s">
        <v>159</v>
      </c>
    </row>
    <row r="15" spans="2:5" ht="23.25" customHeight="1" x14ac:dyDescent="0.3">
      <c r="B15" s="8" t="s">
        <v>39</v>
      </c>
      <c r="C15" s="8" t="s">
        <v>160</v>
      </c>
      <c r="D15" s="9" t="s">
        <v>13</v>
      </c>
      <c r="E15" s="8" t="s">
        <v>161</v>
      </c>
    </row>
    <row r="16" spans="2:5" ht="23.25" customHeight="1" x14ac:dyDescent="0.3">
      <c r="B16" s="8" t="s">
        <v>69</v>
      </c>
      <c r="C16" s="8" t="s">
        <v>162</v>
      </c>
      <c r="D16" s="9" t="s">
        <v>13</v>
      </c>
      <c r="E16" s="8" t="s">
        <v>163</v>
      </c>
    </row>
    <row r="17" spans="2:5" ht="23.25" customHeight="1" x14ac:dyDescent="0.3">
      <c r="B17" s="8" t="s">
        <v>93</v>
      </c>
      <c r="C17" s="8" t="s">
        <v>164</v>
      </c>
      <c r="D17" s="9" t="s">
        <v>13</v>
      </c>
      <c r="E17" s="8" t="s">
        <v>165</v>
      </c>
    </row>
    <row r="18" spans="2:5" ht="23.25" customHeight="1" x14ac:dyDescent="0.3">
      <c r="B18" s="8" t="s">
        <v>124</v>
      </c>
      <c r="C18" s="8" t="s">
        <v>166</v>
      </c>
      <c r="D18" s="10" t="s">
        <v>167</v>
      </c>
      <c r="E18" s="8" t="s">
        <v>168</v>
      </c>
    </row>
    <row r="19" spans="2:5" ht="15" customHeight="1" x14ac:dyDescent="0.3">
      <c r="B19" s="8" t="s">
        <v>34</v>
      </c>
      <c r="C19" s="8" t="s">
        <v>169</v>
      </c>
      <c r="D19" s="9" t="s">
        <v>170</v>
      </c>
      <c r="E19" s="8" t="s">
        <v>171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showGridLines="0" tabSelected="1" zoomScaleNormal="100" workbookViewId="0">
      <pane ySplit="1" topLeftCell="A2" activePane="bottomLeft" state="frozen"/>
      <selection pane="bottomLeft" activeCell="H8" sqref="H8"/>
    </sheetView>
  </sheetViews>
  <sheetFormatPr defaultColWidth="8.6640625" defaultRowHeight="14.4" x14ac:dyDescent="0.3"/>
  <cols>
    <col min="1" max="1" width="10" customWidth="1"/>
    <col min="2" max="3" width="22" customWidth="1"/>
    <col min="4" max="4" width="55" customWidth="1"/>
    <col min="5" max="5" width="14" customWidth="1"/>
    <col min="6" max="6" width="16" customWidth="1"/>
    <col min="7" max="7" width="12" customWidth="1"/>
    <col min="8" max="8" width="40" customWidth="1"/>
  </cols>
  <sheetData>
    <row r="1" spans="1:8" ht="15" customHeight="1" x14ac:dyDescent="0.3">
      <c r="A1" s="11" t="s">
        <v>0</v>
      </c>
      <c r="B1" s="11" t="s">
        <v>1</v>
      </c>
      <c r="C1" s="11" t="s">
        <v>2</v>
      </c>
      <c r="D1" s="11" t="s">
        <v>3</v>
      </c>
      <c r="E1" s="11" t="s">
        <v>4</v>
      </c>
      <c r="F1" s="11" t="s">
        <v>5</v>
      </c>
      <c r="G1" s="11" t="s">
        <v>6</v>
      </c>
      <c r="H1" s="11" t="s">
        <v>7</v>
      </c>
    </row>
    <row r="2" spans="1:8" ht="21.75" customHeight="1" x14ac:dyDescent="0.3">
      <c r="A2" s="12" t="s">
        <v>8</v>
      </c>
      <c r="B2" s="12" t="s">
        <v>9</v>
      </c>
      <c r="C2" s="12" t="s">
        <v>10</v>
      </c>
      <c r="D2" s="12" t="s">
        <v>11</v>
      </c>
      <c r="E2" s="13" t="s">
        <v>12</v>
      </c>
      <c r="F2" s="14" t="s">
        <v>13</v>
      </c>
      <c r="G2" s="15"/>
      <c r="H2" s="12" t="s">
        <v>14</v>
      </c>
    </row>
    <row r="3" spans="1:8" ht="21.75" customHeight="1" x14ac:dyDescent="0.3">
      <c r="A3" s="12" t="s">
        <v>8</v>
      </c>
      <c r="B3" s="12" t="s">
        <v>9</v>
      </c>
      <c r="C3" s="12" t="s">
        <v>15</v>
      </c>
      <c r="D3" s="12" t="s">
        <v>16</v>
      </c>
      <c r="E3" s="13" t="s">
        <v>12</v>
      </c>
      <c r="F3" s="14" t="s">
        <v>13</v>
      </c>
      <c r="G3" s="15"/>
      <c r="H3" s="12" t="s">
        <v>17</v>
      </c>
    </row>
    <row r="4" spans="1:8" ht="21.75" customHeight="1" x14ac:dyDescent="0.3">
      <c r="A4" s="12" t="s">
        <v>8</v>
      </c>
      <c r="B4" s="12" t="s">
        <v>18</v>
      </c>
      <c r="C4" s="12" t="s">
        <v>19</v>
      </c>
      <c r="D4" s="12" t="s">
        <v>20</v>
      </c>
      <c r="E4" s="13" t="s">
        <v>12</v>
      </c>
      <c r="F4" s="14" t="s">
        <v>13</v>
      </c>
      <c r="G4" s="15"/>
      <c r="H4" s="12" t="s">
        <v>21</v>
      </c>
    </row>
    <row r="5" spans="1:8" ht="21.75" customHeight="1" x14ac:dyDescent="0.3">
      <c r="A5" s="12" t="s">
        <v>8</v>
      </c>
      <c r="B5" s="12" t="s">
        <v>18</v>
      </c>
      <c r="C5" s="12" t="s">
        <v>22</v>
      </c>
      <c r="D5" s="12" t="s">
        <v>23</v>
      </c>
      <c r="E5" s="13" t="s">
        <v>12</v>
      </c>
      <c r="F5" s="14" t="s">
        <v>13</v>
      </c>
      <c r="G5" s="15"/>
      <c r="H5" s="12" t="s">
        <v>24</v>
      </c>
    </row>
    <row r="6" spans="1:8" ht="21.75" customHeight="1" x14ac:dyDescent="0.3">
      <c r="A6" s="12" t="s">
        <v>8</v>
      </c>
      <c r="B6" s="12" t="s">
        <v>18</v>
      </c>
      <c r="C6" s="12" t="s">
        <v>25</v>
      </c>
      <c r="D6" s="12" t="s">
        <v>26</v>
      </c>
      <c r="E6" s="13" t="s">
        <v>12</v>
      </c>
      <c r="F6" s="14" t="s">
        <v>13</v>
      </c>
      <c r="G6" s="15"/>
      <c r="H6" s="12"/>
    </row>
    <row r="7" spans="1:8" ht="15" customHeight="1" x14ac:dyDescent="0.3">
      <c r="A7" s="12" t="s">
        <v>8</v>
      </c>
      <c r="B7" s="12" t="s">
        <v>18</v>
      </c>
      <c r="C7" s="12" t="s">
        <v>27</v>
      </c>
      <c r="D7" s="12" t="s">
        <v>28</v>
      </c>
      <c r="E7" s="13" t="s">
        <v>12</v>
      </c>
      <c r="F7" s="14" t="s">
        <v>13</v>
      </c>
      <c r="G7" s="15"/>
      <c r="H7" s="12" t="s">
        <v>29</v>
      </c>
    </row>
    <row r="8" spans="1:8" ht="21.75" customHeight="1" x14ac:dyDescent="0.3">
      <c r="A8" s="12" t="s">
        <v>8</v>
      </c>
      <c r="B8" s="12" t="s">
        <v>30</v>
      </c>
      <c r="C8" s="12" t="s">
        <v>31</v>
      </c>
      <c r="D8" s="12" t="s">
        <v>32</v>
      </c>
      <c r="E8" s="13" t="s">
        <v>12</v>
      </c>
      <c r="F8" s="14" t="s">
        <v>13</v>
      </c>
      <c r="G8" s="15"/>
      <c r="H8" s="12" t="s">
        <v>33</v>
      </c>
    </row>
    <row r="9" spans="1:8" ht="21.75" customHeight="1" x14ac:dyDescent="0.3">
      <c r="A9" s="12" t="s">
        <v>8</v>
      </c>
      <c r="B9" s="12" t="s">
        <v>34</v>
      </c>
      <c r="C9" s="12" t="s">
        <v>35</v>
      </c>
      <c r="D9" s="12" t="s">
        <v>36</v>
      </c>
      <c r="E9" s="12" t="s">
        <v>37</v>
      </c>
      <c r="F9" s="14" t="s">
        <v>13</v>
      </c>
      <c r="G9" s="15"/>
      <c r="H9" s="12" t="s">
        <v>38</v>
      </c>
    </row>
    <row r="10" spans="1:8" ht="21.75" customHeight="1" x14ac:dyDescent="0.3">
      <c r="A10" s="12" t="s">
        <v>39</v>
      </c>
      <c r="B10" s="12" t="s">
        <v>40</v>
      </c>
      <c r="C10" s="12" t="s">
        <v>41</v>
      </c>
      <c r="D10" s="12" t="s">
        <v>42</v>
      </c>
      <c r="E10" s="13" t="s">
        <v>12</v>
      </c>
      <c r="F10" s="14" t="s">
        <v>13</v>
      </c>
      <c r="G10" s="15"/>
      <c r="H10" s="12"/>
    </row>
    <row r="11" spans="1:8" ht="21.75" customHeight="1" x14ac:dyDescent="0.3">
      <c r="A11" s="12" t="s">
        <v>39</v>
      </c>
      <c r="B11" s="12" t="s">
        <v>40</v>
      </c>
      <c r="C11" s="12" t="s">
        <v>43</v>
      </c>
      <c r="D11" s="12" t="s">
        <v>44</v>
      </c>
      <c r="E11" s="13" t="s">
        <v>12</v>
      </c>
      <c r="F11" s="14" t="s">
        <v>13</v>
      </c>
      <c r="G11" s="15"/>
      <c r="H11" s="12"/>
    </row>
    <row r="12" spans="1:8" ht="21.75" customHeight="1" x14ac:dyDescent="0.3">
      <c r="A12" s="12" t="s">
        <v>39</v>
      </c>
      <c r="B12" s="12" t="s">
        <v>40</v>
      </c>
      <c r="C12" s="12" t="s">
        <v>45</v>
      </c>
      <c r="D12" s="12" t="s">
        <v>46</v>
      </c>
      <c r="E12" s="13" t="s">
        <v>12</v>
      </c>
      <c r="F12" s="14" t="s">
        <v>13</v>
      </c>
      <c r="G12" s="15"/>
      <c r="H12" s="12" t="s">
        <v>47</v>
      </c>
    </row>
    <row r="13" spans="1:8" ht="21.75" customHeight="1" x14ac:dyDescent="0.3">
      <c r="A13" s="12" t="s">
        <v>39</v>
      </c>
      <c r="B13" s="12" t="s">
        <v>40</v>
      </c>
      <c r="C13" s="12" t="s">
        <v>48</v>
      </c>
      <c r="D13" s="12" t="s">
        <v>49</v>
      </c>
      <c r="E13" s="13" t="s">
        <v>12</v>
      </c>
      <c r="F13" s="14" t="s">
        <v>13</v>
      </c>
      <c r="G13" s="15"/>
      <c r="H13" s="12"/>
    </row>
    <row r="14" spans="1:8" ht="21.75" customHeight="1" x14ac:dyDescent="0.3">
      <c r="A14" s="12" t="s">
        <v>39</v>
      </c>
      <c r="B14" s="12" t="s">
        <v>50</v>
      </c>
      <c r="C14" s="12" t="s">
        <v>51</v>
      </c>
      <c r="D14" s="12" t="s">
        <v>52</v>
      </c>
      <c r="E14" s="13" t="s">
        <v>12</v>
      </c>
      <c r="F14" s="14" t="s">
        <v>13</v>
      </c>
      <c r="G14" s="15"/>
      <c r="H14" s="12" t="s">
        <v>53</v>
      </c>
    </row>
    <row r="15" spans="1:8" ht="21.75" customHeight="1" x14ac:dyDescent="0.3">
      <c r="A15" s="12" t="s">
        <v>39</v>
      </c>
      <c r="B15" s="12" t="s">
        <v>54</v>
      </c>
      <c r="C15" s="12" t="s">
        <v>55</v>
      </c>
      <c r="D15" s="12" t="s">
        <v>56</v>
      </c>
      <c r="E15" s="13" t="s">
        <v>12</v>
      </c>
      <c r="F15" s="14" t="s">
        <v>13</v>
      </c>
      <c r="G15" s="15"/>
      <c r="H15" s="12"/>
    </row>
    <row r="16" spans="1:8" ht="15" customHeight="1" x14ac:dyDescent="0.3">
      <c r="A16" s="12" t="s">
        <v>39</v>
      </c>
      <c r="B16" s="12" t="s">
        <v>54</v>
      </c>
      <c r="C16" s="12" t="s">
        <v>57</v>
      </c>
      <c r="D16" s="12" t="s">
        <v>58</v>
      </c>
      <c r="E16" s="13" t="s">
        <v>12</v>
      </c>
      <c r="F16" s="14" t="s">
        <v>13</v>
      </c>
      <c r="G16" s="15"/>
      <c r="H16" s="12"/>
    </row>
    <row r="17" spans="1:8" ht="21.75" customHeight="1" x14ac:dyDescent="0.3">
      <c r="A17" s="12" t="s">
        <v>39</v>
      </c>
      <c r="B17" s="12" t="s">
        <v>59</v>
      </c>
      <c r="C17" s="12" t="s">
        <v>60</v>
      </c>
      <c r="D17" s="12" t="s">
        <v>61</v>
      </c>
      <c r="E17" s="13" t="s">
        <v>12</v>
      </c>
      <c r="F17" s="14" t="s">
        <v>13</v>
      </c>
      <c r="G17" s="15"/>
      <c r="H17" s="12" t="s">
        <v>62</v>
      </c>
    </row>
    <row r="18" spans="1:8" ht="15" customHeight="1" x14ac:dyDescent="0.3">
      <c r="A18" s="12" t="s">
        <v>39</v>
      </c>
      <c r="B18" s="12" t="s">
        <v>34</v>
      </c>
      <c r="C18" s="12" t="s">
        <v>63</v>
      </c>
      <c r="D18" s="12" t="s">
        <v>64</v>
      </c>
      <c r="E18" s="12" t="s">
        <v>37</v>
      </c>
      <c r="F18" s="16" t="s">
        <v>65</v>
      </c>
      <c r="G18" s="15"/>
      <c r="H18" s="12" t="s">
        <v>66</v>
      </c>
    </row>
    <row r="19" spans="1:8" ht="15" customHeight="1" x14ac:dyDescent="0.3">
      <c r="A19" s="12" t="s">
        <v>39</v>
      </c>
      <c r="B19" s="12" t="s">
        <v>34</v>
      </c>
      <c r="C19" s="12" t="s">
        <v>67</v>
      </c>
      <c r="D19" s="12" t="s">
        <v>68</v>
      </c>
      <c r="E19" s="12" t="s">
        <v>37</v>
      </c>
      <c r="F19" s="16" t="s">
        <v>65</v>
      </c>
      <c r="G19" s="15"/>
      <c r="H19" s="12"/>
    </row>
    <row r="20" spans="1:8" ht="21.75" customHeight="1" x14ac:dyDescent="0.3">
      <c r="A20" s="12" t="s">
        <v>69</v>
      </c>
      <c r="B20" s="12" t="s">
        <v>70</v>
      </c>
      <c r="C20" s="12" t="s">
        <v>71</v>
      </c>
      <c r="D20" s="12" t="s">
        <v>72</v>
      </c>
      <c r="E20" s="13" t="s">
        <v>12</v>
      </c>
      <c r="F20" s="14" t="s">
        <v>13</v>
      </c>
      <c r="G20" s="15"/>
      <c r="H20" s="12"/>
    </row>
    <row r="21" spans="1:8" ht="21.75" customHeight="1" x14ac:dyDescent="0.3">
      <c r="A21" s="12" t="s">
        <v>69</v>
      </c>
      <c r="B21" s="12" t="s">
        <v>70</v>
      </c>
      <c r="C21" s="12" t="s">
        <v>73</v>
      </c>
      <c r="D21" s="12" t="s">
        <v>74</v>
      </c>
      <c r="E21" s="13" t="s">
        <v>12</v>
      </c>
      <c r="F21" s="14" t="s">
        <v>13</v>
      </c>
      <c r="G21" s="15"/>
      <c r="H21" s="12"/>
    </row>
    <row r="22" spans="1:8" ht="21.75" customHeight="1" x14ac:dyDescent="0.3">
      <c r="A22" s="12" t="s">
        <v>69</v>
      </c>
      <c r="B22" s="12" t="s">
        <v>70</v>
      </c>
      <c r="C22" s="12" t="s">
        <v>75</v>
      </c>
      <c r="D22" s="12" t="s">
        <v>76</v>
      </c>
      <c r="E22" s="13" t="s">
        <v>12</v>
      </c>
      <c r="F22" s="14" t="s">
        <v>13</v>
      </c>
      <c r="G22" s="15"/>
      <c r="H22" s="12"/>
    </row>
    <row r="23" spans="1:8" ht="15" customHeight="1" x14ac:dyDescent="0.3">
      <c r="A23" s="12" t="s">
        <v>69</v>
      </c>
      <c r="B23" s="12" t="s">
        <v>70</v>
      </c>
      <c r="C23" s="12" t="s">
        <v>77</v>
      </c>
      <c r="D23" s="12" t="s">
        <v>78</v>
      </c>
      <c r="E23" s="13" t="s">
        <v>12</v>
      </c>
      <c r="F23" s="14" t="s">
        <v>13</v>
      </c>
      <c r="G23" s="15"/>
      <c r="H23" s="12"/>
    </row>
    <row r="24" spans="1:8" ht="21.75" customHeight="1" x14ac:dyDescent="0.3">
      <c r="A24" s="12" t="s">
        <v>69</v>
      </c>
      <c r="B24" s="12" t="s">
        <v>79</v>
      </c>
      <c r="C24" s="12" t="s">
        <v>80</v>
      </c>
      <c r="D24" s="12" t="s">
        <v>81</v>
      </c>
      <c r="E24" s="13" t="s">
        <v>12</v>
      </c>
      <c r="F24" s="14" t="s">
        <v>13</v>
      </c>
      <c r="G24" s="15"/>
      <c r="H24" s="12"/>
    </row>
    <row r="25" spans="1:8" ht="21.75" customHeight="1" x14ac:dyDescent="0.3">
      <c r="A25" s="12" t="s">
        <v>69</v>
      </c>
      <c r="B25" s="12" t="s">
        <v>79</v>
      </c>
      <c r="C25" s="12" t="s">
        <v>82</v>
      </c>
      <c r="D25" s="12" t="s">
        <v>83</v>
      </c>
      <c r="E25" s="13" t="s">
        <v>12</v>
      </c>
      <c r="F25" s="14" t="s">
        <v>13</v>
      </c>
      <c r="G25" s="15"/>
      <c r="H25" s="12"/>
    </row>
    <row r="26" spans="1:8" ht="21.75" customHeight="1" x14ac:dyDescent="0.3">
      <c r="A26" s="12" t="s">
        <v>69</v>
      </c>
      <c r="B26" s="12" t="s">
        <v>79</v>
      </c>
      <c r="C26" s="12" t="s">
        <v>84</v>
      </c>
      <c r="D26" s="12" t="s">
        <v>85</v>
      </c>
      <c r="E26" s="13" t="s">
        <v>12</v>
      </c>
      <c r="F26" s="14" t="s">
        <v>13</v>
      </c>
      <c r="G26" s="15"/>
      <c r="H26" s="12"/>
    </row>
    <row r="27" spans="1:8" ht="21.75" customHeight="1" x14ac:dyDescent="0.3">
      <c r="A27" s="12" t="s">
        <v>69</v>
      </c>
      <c r="B27" s="12" t="s">
        <v>59</v>
      </c>
      <c r="C27" s="12" t="s">
        <v>86</v>
      </c>
      <c r="D27" s="12" t="s">
        <v>87</v>
      </c>
      <c r="E27" s="13" t="s">
        <v>12</v>
      </c>
      <c r="F27" s="14" t="s">
        <v>13</v>
      </c>
      <c r="G27" s="15"/>
      <c r="H27" s="12" t="s">
        <v>88</v>
      </c>
    </row>
    <row r="28" spans="1:8" ht="21.75" customHeight="1" x14ac:dyDescent="0.3">
      <c r="A28" s="12" t="s">
        <v>69</v>
      </c>
      <c r="B28" s="12" t="s">
        <v>34</v>
      </c>
      <c r="C28" s="12" t="s">
        <v>89</v>
      </c>
      <c r="D28" s="12" t="s">
        <v>90</v>
      </c>
      <c r="E28" s="12" t="s">
        <v>37</v>
      </c>
      <c r="F28" s="16" t="s">
        <v>65</v>
      </c>
      <c r="G28" s="15"/>
      <c r="H28" s="12"/>
    </row>
    <row r="29" spans="1:8" ht="15" customHeight="1" x14ac:dyDescent="0.3">
      <c r="A29" s="12" t="s">
        <v>69</v>
      </c>
      <c r="B29" s="12" t="s">
        <v>34</v>
      </c>
      <c r="C29" s="12" t="s">
        <v>91</v>
      </c>
      <c r="D29" s="12" t="s">
        <v>92</v>
      </c>
      <c r="E29" s="12" t="s">
        <v>37</v>
      </c>
      <c r="F29" s="16" t="s">
        <v>65</v>
      </c>
      <c r="G29" s="15"/>
      <c r="H29" s="12"/>
    </row>
    <row r="30" spans="1:8" ht="21.75" customHeight="1" x14ac:dyDescent="0.3">
      <c r="A30" s="12" t="s">
        <v>93</v>
      </c>
      <c r="B30" s="12" t="s">
        <v>94</v>
      </c>
      <c r="C30" s="12" t="s">
        <v>95</v>
      </c>
      <c r="D30" s="12" t="s">
        <v>96</v>
      </c>
      <c r="E30" s="13" t="s">
        <v>12</v>
      </c>
      <c r="F30" s="14" t="s">
        <v>13</v>
      </c>
      <c r="G30" s="15"/>
      <c r="H30" s="12"/>
    </row>
    <row r="31" spans="1:8" ht="21.75" customHeight="1" x14ac:dyDescent="0.3">
      <c r="A31" s="12" t="s">
        <v>93</v>
      </c>
      <c r="B31" s="12" t="s">
        <v>94</v>
      </c>
      <c r="C31" s="12" t="s">
        <v>97</v>
      </c>
      <c r="D31" s="12" t="s">
        <v>98</v>
      </c>
      <c r="E31" s="13" t="s">
        <v>12</v>
      </c>
      <c r="F31" s="14" t="s">
        <v>13</v>
      </c>
      <c r="G31" s="15"/>
      <c r="H31" s="12"/>
    </row>
    <row r="32" spans="1:8" ht="21.75" customHeight="1" x14ac:dyDescent="0.3">
      <c r="A32" s="12" t="s">
        <v>93</v>
      </c>
      <c r="B32" s="12" t="s">
        <v>94</v>
      </c>
      <c r="C32" s="12" t="s">
        <v>99</v>
      </c>
      <c r="D32" s="12" t="s">
        <v>100</v>
      </c>
      <c r="E32" s="13" t="s">
        <v>12</v>
      </c>
      <c r="F32" s="14" t="s">
        <v>13</v>
      </c>
      <c r="G32" s="15"/>
      <c r="H32" s="12"/>
    </row>
    <row r="33" spans="1:8" ht="21.75" customHeight="1" x14ac:dyDescent="0.3">
      <c r="A33" s="12" t="s">
        <v>93</v>
      </c>
      <c r="B33" s="12" t="s">
        <v>94</v>
      </c>
      <c r="C33" s="12" t="s">
        <v>101</v>
      </c>
      <c r="D33" s="12" t="s">
        <v>102</v>
      </c>
      <c r="E33" s="13" t="s">
        <v>12</v>
      </c>
      <c r="F33" s="14" t="s">
        <v>13</v>
      </c>
      <c r="G33" s="15"/>
      <c r="H33" s="12" t="s">
        <v>103</v>
      </c>
    </row>
    <row r="34" spans="1:8" ht="21.75" customHeight="1" x14ac:dyDescent="0.3">
      <c r="A34" s="12" t="s">
        <v>93</v>
      </c>
      <c r="B34" s="12" t="s">
        <v>94</v>
      </c>
      <c r="C34" s="12" t="s">
        <v>104</v>
      </c>
      <c r="D34" s="12" t="s">
        <v>105</v>
      </c>
      <c r="E34" s="13" t="s">
        <v>12</v>
      </c>
      <c r="F34" s="14" t="s">
        <v>13</v>
      </c>
      <c r="G34" s="15"/>
      <c r="H34" s="12"/>
    </row>
    <row r="35" spans="1:8" ht="21.75" customHeight="1" x14ac:dyDescent="0.3">
      <c r="A35" s="12" t="s">
        <v>93</v>
      </c>
      <c r="B35" s="12" t="s">
        <v>94</v>
      </c>
      <c r="C35" s="12" t="s">
        <v>106</v>
      </c>
      <c r="D35" s="12" t="s">
        <v>107</v>
      </c>
      <c r="E35" s="13" t="s">
        <v>12</v>
      </c>
      <c r="F35" s="14" t="s">
        <v>13</v>
      </c>
      <c r="G35" s="15"/>
      <c r="H35" s="12" t="s">
        <v>108</v>
      </c>
    </row>
    <row r="36" spans="1:8" ht="21.75" customHeight="1" x14ac:dyDescent="0.3">
      <c r="A36" s="12" t="s">
        <v>93</v>
      </c>
      <c r="B36" s="12" t="s">
        <v>94</v>
      </c>
      <c r="C36" s="12" t="s">
        <v>109</v>
      </c>
      <c r="D36" s="12" t="s">
        <v>110</v>
      </c>
      <c r="E36" s="13" t="s">
        <v>12</v>
      </c>
      <c r="F36" s="14" t="s">
        <v>13</v>
      </c>
      <c r="G36" s="15"/>
      <c r="H36" s="12" t="s">
        <v>111</v>
      </c>
    </row>
    <row r="37" spans="1:8" ht="21.75" customHeight="1" x14ac:dyDescent="0.3">
      <c r="A37" s="12" t="s">
        <v>93</v>
      </c>
      <c r="B37" s="12" t="s">
        <v>94</v>
      </c>
      <c r="C37" s="12" t="s">
        <v>112</v>
      </c>
      <c r="D37" s="12" t="s">
        <v>113</v>
      </c>
      <c r="E37" s="13" t="s">
        <v>12</v>
      </c>
      <c r="F37" s="14" t="s">
        <v>13</v>
      </c>
      <c r="G37" s="15"/>
      <c r="H37" s="12"/>
    </row>
    <row r="38" spans="1:8" ht="15" customHeight="1" x14ac:dyDescent="0.3">
      <c r="A38" s="12" t="s">
        <v>93</v>
      </c>
      <c r="B38" s="12" t="s">
        <v>94</v>
      </c>
      <c r="C38" s="12" t="s">
        <v>114</v>
      </c>
      <c r="D38" s="12" t="s">
        <v>115</v>
      </c>
      <c r="E38" s="13" t="s">
        <v>12</v>
      </c>
      <c r="F38" s="14" t="s">
        <v>13</v>
      </c>
      <c r="G38" s="15"/>
      <c r="H38" s="12" t="s">
        <v>116</v>
      </c>
    </row>
    <row r="39" spans="1:8" ht="21.75" customHeight="1" x14ac:dyDescent="0.3">
      <c r="A39" s="12" t="s">
        <v>93</v>
      </c>
      <c r="B39" s="12" t="s">
        <v>50</v>
      </c>
      <c r="C39" s="12" t="s">
        <v>117</v>
      </c>
      <c r="D39" s="12" t="s">
        <v>118</v>
      </c>
      <c r="E39" s="13" t="s">
        <v>12</v>
      </c>
      <c r="F39" s="14" t="s">
        <v>13</v>
      </c>
      <c r="G39" s="15"/>
      <c r="H39" s="12"/>
    </row>
    <row r="40" spans="1:8" ht="21.75" customHeight="1" x14ac:dyDescent="0.3">
      <c r="A40" s="12" t="s">
        <v>93</v>
      </c>
      <c r="B40" s="12" t="s">
        <v>34</v>
      </c>
      <c r="C40" s="12" t="s">
        <v>119</v>
      </c>
      <c r="D40" s="12" t="s">
        <v>120</v>
      </c>
      <c r="E40" s="12" t="s">
        <v>37</v>
      </c>
      <c r="F40" s="16" t="s">
        <v>65</v>
      </c>
      <c r="G40" s="15"/>
      <c r="H40" s="12"/>
    </row>
    <row r="41" spans="1:8" ht="21.75" customHeight="1" x14ac:dyDescent="0.3">
      <c r="A41" s="12" t="s">
        <v>93</v>
      </c>
      <c r="B41" s="12" t="s">
        <v>34</v>
      </c>
      <c r="C41" s="12" t="s">
        <v>121</v>
      </c>
      <c r="D41" s="12" t="s">
        <v>122</v>
      </c>
      <c r="E41" s="12" t="s">
        <v>37</v>
      </c>
      <c r="F41" s="14" t="s">
        <v>13</v>
      </c>
      <c r="G41" s="15"/>
      <c r="H41" s="12" t="s">
        <v>123</v>
      </c>
    </row>
    <row r="42" spans="1:8" ht="21.75" customHeight="1" x14ac:dyDescent="0.3">
      <c r="A42" s="12" t="s">
        <v>124</v>
      </c>
      <c r="B42" s="12" t="s">
        <v>125</v>
      </c>
      <c r="C42" s="12" t="s">
        <v>126</v>
      </c>
      <c r="D42" s="12" t="s">
        <v>127</v>
      </c>
      <c r="E42" s="13" t="s">
        <v>12</v>
      </c>
      <c r="F42" s="14" t="s">
        <v>13</v>
      </c>
      <c r="G42" s="15"/>
      <c r="H42" s="12" t="s">
        <v>128</v>
      </c>
    </row>
    <row r="43" spans="1:8" ht="21.75" customHeight="1" x14ac:dyDescent="0.3">
      <c r="A43" s="12" t="s">
        <v>124</v>
      </c>
      <c r="B43" s="12" t="s">
        <v>125</v>
      </c>
      <c r="C43" s="12" t="s">
        <v>129</v>
      </c>
      <c r="D43" s="12" t="s">
        <v>130</v>
      </c>
      <c r="E43" s="13" t="s">
        <v>12</v>
      </c>
      <c r="F43" s="14" t="s">
        <v>13</v>
      </c>
      <c r="G43" s="15"/>
      <c r="H43" s="12" t="s">
        <v>131</v>
      </c>
    </row>
    <row r="44" spans="1:8" ht="21.75" customHeight="1" x14ac:dyDescent="0.3">
      <c r="A44" s="12" t="s">
        <v>124</v>
      </c>
      <c r="B44" s="12" t="s">
        <v>132</v>
      </c>
      <c r="C44" s="12" t="s">
        <v>133</v>
      </c>
      <c r="D44" s="12" t="s">
        <v>134</v>
      </c>
      <c r="E44" s="13" t="s">
        <v>12</v>
      </c>
      <c r="F44" s="14" t="s">
        <v>13</v>
      </c>
      <c r="G44" s="15"/>
      <c r="H44" s="12" t="s">
        <v>135</v>
      </c>
    </row>
    <row r="46" spans="1:8" ht="15" customHeight="1" x14ac:dyDescent="0.3">
      <c r="A46" s="35" t="s">
        <v>136</v>
      </c>
      <c r="B46" s="36"/>
      <c r="C46" s="36"/>
      <c r="D46" s="36"/>
      <c r="E46" s="36"/>
      <c r="F46" s="36"/>
      <c r="G46" s="17">
        <f>SUMIF(F2:F44,"Hoàn thành",G2:G44)</f>
        <v>0</v>
      </c>
    </row>
    <row r="47" spans="1:8" ht="15" customHeight="1" x14ac:dyDescent="0.3">
      <c r="A47" s="35" t="s">
        <v>137</v>
      </c>
      <c r="B47" s="36"/>
      <c r="C47" s="36"/>
      <c r="D47" s="36"/>
      <c r="E47" s="36"/>
      <c r="F47" s="36"/>
      <c r="G47" s="17">
        <f>SUM(G2:G44)</f>
        <v>0</v>
      </c>
    </row>
    <row r="49" spans="1:5" ht="15" customHeight="1" x14ac:dyDescent="0.3">
      <c r="A49" s="18" t="s">
        <v>138</v>
      </c>
    </row>
    <row r="50" spans="1:5" ht="15" customHeight="1" x14ac:dyDescent="0.3">
      <c r="A50" s="19"/>
      <c r="B50" s="37" t="s">
        <v>139</v>
      </c>
      <c r="C50" s="36"/>
      <c r="D50" s="36"/>
      <c r="E50" s="36"/>
    </row>
    <row r="51" spans="1:5" ht="15" customHeight="1" x14ac:dyDescent="0.3">
      <c r="A51" s="20"/>
      <c r="B51" s="37" t="s">
        <v>140</v>
      </c>
      <c r="C51" s="36"/>
      <c r="D51" s="36"/>
      <c r="E51" s="36"/>
    </row>
    <row r="52" spans="1:5" ht="15" customHeight="1" x14ac:dyDescent="0.3">
      <c r="A52" s="15"/>
      <c r="B52" s="37" t="s">
        <v>141</v>
      </c>
      <c r="C52" s="36"/>
      <c r="D52" s="36"/>
      <c r="E52" s="36"/>
    </row>
    <row r="53" spans="1:5" ht="15" customHeight="1" x14ac:dyDescent="0.3">
      <c r="A53" s="21"/>
      <c r="B53" s="37" t="s">
        <v>142</v>
      </c>
      <c r="C53" s="36"/>
      <c r="D53" s="36"/>
      <c r="E53" s="36"/>
    </row>
  </sheetData>
  <mergeCells count="6">
    <mergeCell ref="A47:F47"/>
    <mergeCell ref="A46:F46"/>
    <mergeCell ref="B53:E53"/>
    <mergeCell ref="B50:E50"/>
    <mergeCell ref="B52:E52"/>
    <mergeCell ref="B51:E5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12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 customWidth="1"/>
    <col min="2" max="2" width="16" customWidth="1"/>
    <col min="3" max="3" width="40" customWidth="1"/>
    <col min="4" max="6" width="45" customWidth="1"/>
    <col min="7" max="7" width="48" customWidth="1"/>
    <col min="8" max="8" width="16" customWidth="1"/>
    <col min="9" max="9" width="12" customWidth="1"/>
    <col min="10" max="10" width="30" customWidth="1"/>
    <col min="11" max="11" width="14" customWidth="1"/>
    <col min="12" max="12" width="60" customWidth="1"/>
  </cols>
  <sheetData>
    <row r="1" spans="2:12" ht="17.399999999999999" customHeight="1" x14ac:dyDescent="0.3">
      <c r="B1" s="22" t="s">
        <v>172</v>
      </c>
    </row>
    <row r="2" spans="2:12" x14ac:dyDescent="0.3">
      <c r="B2" s="3" t="s">
        <v>173</v>
      </c>
    </row>
    <row r="4" spans="2:12" ht="15.6" customHeight="1" x14ac:dyDescent="0.3">
      <c r="B4" s="6" t="s">
        <v>174</v>
      </c>
    </row>
    <row r="5" spans="2:12" ht="27.6" x14ac:dyDescent="0.3">
      <c r="B5" s="24" t="s">
        <v>0</v>
      </c>
      <c r="C5" s="24" t="s">
        <v>175</v>
      </c>
      <c r="D5" s="24" t="s">
        <v>176</v>
      </c>
      <c r="E5" s="24" t="s">
        <v>177</v>
      </c>
      <c r="F5" s="24" t="s">
        <v>178</v>
      </c>
      <c r="G5" s="24" t="s">
        <v>179</v>
      </c>
      <c r="H5" s="24" t="s">
        <v>180</v>
      </c>
      <c r="I5" s="24" t="s">
        <v>181</v>
      </c>
      <c r="J5" s="24" t="s">
        <v>182</v>
      </c>
      <c r="K5" s="24" t="s">
        <v>139</v>
      </c>
      <c r="L5" s="24" t="s">
        <v>183</v>
      </c>
    </row>
    <row r="6" spans="2:12" ht="30" customHeight="1" x14ac:dyDescent="0.3">
      <c r="B6" s="38" t="s">
        <v>8</v>
      </c>
      <c r="C6" s="25">
        <v>1</v>
      </c>
      <c r="D6" s="26" t="s">
        <v>184</v>
      </c>
      <c r="E6" s="26" t="s">
        <v>185</v>
      </c>
      <c r="F6" s="26" t="s">
        <v>186</v>
      </c>
      <c r="G6" s="26"/>
      <c r="H6" s="29"/>
      <c r="I6" s="30"/>
      <c r="J6" s="25" t="s">
        <v>187</v>
      </c>
      <c r="K6" s="33" t="s">
        <v>188</v>
      </c>
      <c r="L6" s="26" t="s">
        <v>189</v>
      </c>
    </row>
    <row r="7" spans="2:12" ht="45" customHeight="1" x14ac:dyDescent="0.3">
      <c r="B7" s="39"/>
      <c r="C7" s="25">
        <v>2</v>
      </c>
      <c r="D7" s="26" t="s">
        <v>190</v>
      </c>
      <c r="E7" s="26" t="s">
        <v>191</v>
      </c>
      <c r="F7" s="26" t="s">
        <v>192</v>
      </c>
      <c r="G7" s="27" t="s">
        <v>193</v>
      </c>
      <c r="H7" s="29"/>
      <c r="I7" s="30"/>
      <c r="J7" s="25" t="s">
        <v>194</v>
      </c>
      <c r="K7" s="34" t="s">
        <v>195</v>
      </c>
      <c r="L7" s="26" t="s">
        <v>196</v>
      </c>
    </row>
    <row r="8" spans="2:12" ht="30" customHeight="1" x14ac:dyDescent="0.3">
      <c r="B8" s="39"/>
      <c r="C8" s="25">
        <v>3</v>
      </c>
      <c r="D8" s="26" t="s">
        <v>197</v>
      </c>
      <c r="E8" s="26" t="s">
        <v>185</v>
      </c>
      <c r="F8" s="26" t="s">
        <v>198</v>
      </c>
      <c r="G8" s="26"/>
      <c r="H8" s="29"/>
      <c r="I8" s="30"/>
      <c r="J8" s="25" t="s">
        <v>187</v>
      </c>
      <c r="K8" s="33" t="s">
        <v>188</v>
      </c>
      <c r="L8" s="26" t="s">
        <v>199</v>
      </c>
    </row>
    <row r="9" spans="2:12" ht="45" customHeight="1" x14ac:dyDescent="0.3">
      <c r="B9" s="40"/>
      <c r="C9" s="25">
        <v>4</v>
      </c>
      <c r="D9" s="26" t="s">
        <v>200</v>
      </c>
      <c r="E9" s="26" t="s">
        <v>185</v>
      </c>
      <c r="F9" s="26" t="s">
        <v>201</v>
      </c>
      <c r="G9" s="26"/>
      <c r="H9" s="29"/>
      <c r="I9" s="30"/>
      <c r="J9" s="25" t="s">
        <v>202</v>
      </c>
      <c r="K9" s="33" t="s">
        <v>188</v>
      </c>
      <c r="L9" s="26" t="s">
        <v>203</v>
      </c>
    </row>
    <row r="10" spans="2:12" ht="30" customHeight="1" x14ac:dyDescent="0.3">
      <c r="B10" s="38" t="s">
        <v>39</v>
      </c>
      <c r="C10" s="25">
        <v>1</v>
      </c>
      <c r="D10" s="26" t="s">
        <v>204</v>
      </c>
      <c r="E10" s="26" t="s">
        <v>205</v>
      </c>
      <c r="F10" s="26" t="s">
        <v>206</v>
      </c>
      <c r="G10" s="26"/>
      <c r="H10" s="29"/>
      <c r="I10" s="30"/>
      <c r="J10" s="25" t="s">
        <v>207</v>
      </c>
      <c r="K10" s="33" t="s">
        <v>188</v>
      </c>
      <c r="L10" s="26" t="s">
        <v>208</v>
      </c>
    </row>
    <row r="11" spans="2:12" ht="30" customHeight="1" x14ac:dyDescent="0.3">
      <c r="B11" s="39"/>
      <c r="C11" s="25">
        <v>2</v>
      </c>
      <c r="D11" s="26" t="s">
        <v>204</v>
      </c>
      <c r="E11" s="26" t="s">
        <v>209</v>
      </c>
      <c r="F11" s="26" t="s">
        <v>210</v>
      </c>
      <c r="G11" s="26"/>
      <c r="H11" s="29"/>
      <c r="I11" s="30"/>
      <c r="J11" s="25" t="s">
        <v>211</v>
      </c>
      <c r="K11" s="33" t="s">
        <v>188</v>
      </c>
      <c r="L11" s="26" t="s">
        <v>212</v>
      </c>
    </row>
    <row r="12" spans="2:12" ht="45" customHeight="1" x14ac:dyDescent="0.3">
      <c r="B12" s="39"/>
      <c r="C12" s="25">
        <v>3</v>
      </c>
      <c r="D12" s="26" t="s">
        <v>204</v>
      </c>
      <c r="E12" s="26" t="s">
        <v>213</v>
      </c>
      <c r="F12" s="26" t="s">
        <v>214</v>
      </c>
      <c r="G12" s="27" t="s">
        <v>215</v>
      </c>
      <c r="H12" s="29"/>
      <c r="I12" s="30"/>
      <c r="J12" s="25" t="s">
        <v>216</v>
      </c>
      <c r="K12" s="34" t="s">
        <v>195</v>
      </c>
      <c r="L12" s="26" t="s">
        <v>217</v>
      </c>
    </row>
    <row r="13" spans="2:12" ht="30" customHeight="1" x14ac:dyDescent="0.3">
      <c r="B13" s="39"/>
      <c r="C13" s="25">
        <v>4</v>
      </c>
      <c r="D13" s="26" t="s">
        <v>204</v>
      </c>
      <c r="E13" s="26" t="s">
        <v>218</v>
      </c>
      <c r="F13" s="26" t="s">
        <v>219</v>
      </c>
      <c r="G13" s="26"/>
      <c r="H13" s="29"/>
      <c r="I13" s="30"/>
      <c r="J13" s="25" t="s">
        <v>220</v>
      </c>
      <c r="K13" s="33" t="s">
        <v>188</v>
      </c>
      <c r="L13" s="26" t="s">
        <v>221</v>
      </c>
    </row>
    <row r="14" spans="2:12" ht="45" customHeight="1" x14ac:dyDescent="0.3">
      <c r="B14" s="39"/>
      <c r="C14" s="25">
        <v>5</v>
      </c>
      <c r="D14" s="26" t="s">
        <v>204</v>
      </c>
      <c r="E14" s="26" t="s">
        <v>222</v>
      </c>
      <c r="F14" s="26" t="s">
        <v>223</v>
      </c>
      <c r="G14" s="27" t="s">
        <v>224</v>
      </c>
      <c r="H14" s="29"/>
      <c r="I14" s="30"/>
      <c r="J14" s="25" t="s">
        <v>225</v>
      </c>
      <c r="K14" s="34" t="s">
        <v>195</v>
      </c>
      <c r="L14" s="26" t="s">
        <v>226</v>
      </c>
    </row>
    <row r="15" spans="2:12" ht="30" customHeight="1" x14ac:dyDescent="0.3">
      <c r="B15" s="39"/>
      <c r="C15" s="25">
        <v>6</v>
      </c>
      <c r="D15" s="26" t="s">
        <v>204</v>
      </c>
      <c r="E15" s="26" t="s">
        <v>227</v>
      </c>
      <c r="F15" s="26" t="s">
        <v>228</v>
      </c>
      <c r="G15" s="26"/>
      <c r="H15" s="29"/>
      <c r="I15" s="30"/>
      <c r="J15" s="25" t="s">
        <v>220</v>
      </c>
      <c r="K15" s="33" t="s">
        <v>188</v>
      </c>
      <c r="L15" s="26" t="s">
        <v>229</v>
      </c>
    </row>
    <row r="16" spans="2:12" ht="30" customHeight="1" x14ac:dyDescent="0.3">
      <c r="B16" s="39"/>
      <c r="C16" s="25">
        <v>7</v>
      </c>
      <c r="D16" s="26" t="s">
        <v>204</v>
      </c>
      <c r="E16" s="26" t="s">
        <v>230</v>
      </c>
      <c r="F16" s="26" t="s">
        <v>220</v>
      </c>
      <c r="G16" s="26"/>
      <c r="H16" s="29"/>
      <c r="I16" s="30"/>
      <c r="J16" s="25" t="s">
        <v>220</v>
      </c>
      <c r="K16" s="33" t="s">
        <v>188</v>
      </c>
      <c r="L16" s="26" t="s">
        <v>231</v>
      </c>
    </row>
    <row r="17" spans="2:12" ht="30" customHeight="1" x14ac:dyDescent="0.3">
      <c r="B17" s="39"/>
      <c r="C17" s="25">
        <v>8</v>
      </c>
      <c r="D17" s="26" t="s">
        <v>232</v>
      </c>
      <c r="E17" s="26" t="s">
        <v>233</v>
      </c>
      <c r="F17" s="26" t="s">
        <v>234</v>
      </c>
      <c r="G17" s="26"/>
      <c r="H17" s="29"/>
      <c r="I17" s="30"/>
      <c r="J17" s="25" t="s">
        <v>187</v>
      </c>
      <c r="K17" s="33" t="s">
        <v>188</v>
      </c>
      <c r="L17" s="26" t="s">
        <v>235</v>
      </c>
    </row>
    <row r="18" spans="2:12" ht="30" customHeight="1" x14ac:dyDescent="0.3">
      <c r="B18" s="39"/>
      <c r="C18" s="25">
        <v>9</v>
      </c>
      <c r="D18" s="26" t="s">
        <v>232</v>
      </c>
      <c r="E18" s="26" t="s">
        <v>236</v>
      </c>
      <c r="F18" s="26" t="s">
        <v>237</v>
      </c>
      <c r="G18" s="26"/>
      <c r="H18" s="29"/>
      <c r="I18" s="30"/>
      <c r="J18" s="25" t="s">
        <v>238</v>
      </c>
      <c r="K18" s="33" t="s">
        <v>188</v>
      </c>
      <c r="L18" s="26" t="s">
        <v>239</v>
      </c>
    </row>
    <row r="19" spans="2:12" ht="45" customHeight="1" x14ac:dyDescent="0.3">
      <c r="B19" s="39"/>
      <c r="C19" s="25">
        <v>10</v>
      </c>
      <c r="D19" s="26" t="s">
        <v>232</v>
      </c>
      <c r="E19" s="26" t="s">
        <v>240</v>
      </c>
      <c r="F19" s="26" t="s">
        <v>241</v>
      </c>
      <c r="G19" s="27" t="s">
        <v>242</v>
      </c>
      <c r="H19" s="29"/>
      <c r="I19" s="30"/>
      <c r="J19" s="25" t="s">
        <v>238</v>
      </c>
      <c r="K19" s="34" t="s">
        <v>195</v>
      </c>
      <c r="L19" s="26" t="s">
        <v>243</v>
      </c>
    </row>
    <row r="20" spans="2:12" ht="30" customHeight="1" x14ac:dyDescent="0.3">
      <c r="B20" s="39"/>
      <c r="C20" s="25">
        <v>11</v>
      </c>
      <c r="D20" s="26" t="s">
        <v>232</v>
      </c>
      <c r="E20" s="26" t="s">
        <v>244</v>
      </c>
      <c r="F20" s="26" t="s">
        <v>245</v>
      </c>
      <c r="G20" s="26"/>
      <c r="H20" s="29"/>
      <c r="I20" s="30"/>
      <c r="J20" s="25" t="s">
        <v>246</v>
      </c>
      <c r="K20" s="33" t="s">
        <v>188</v>
      </c>
      <c r="L20" s="26" t="s">
        <v>247</v>
      </c>
    </row>
    <row r="21" spans="2:12" ht="30" customHeight="1" x14ac:dyDescent="0.3">
      <c r="B21" s="39"/>
      <c r="C21" s="25">
        <v>12</v>
      </c>
      <c r="D21" s="26" t="s">
        <v>232</v>
      </c>
      <c r="E21" s="26" t="s">
        <v>248</v>
      </c>
      <c r="F21" s="26" t="s">
        <v>249</v>
      </c>
      <c r="G21" s="26"/>
      <c r="H21" s="29"/>
      <c r="I21" s="30"/>
      <c r="J21" s="25" t="s">
        <v>220</v>
      </c>
      <c r="K21" s="33" t="s">
        <v>188</v>
      </c>
      <c r="L21" s="26" t="s">
        <v>250</v>
      </c>
    </row>
    <row r="22" spans="2:12" ht="30" customHeight="1" x14ac:dyDescent="0.3">
      <c r="B22" s="39"/>
      <c r="C22" s="25">
        <v>13</v>
      </c>
      <c r="D22" s="26" t="s">
        <v>232</v>
      </c>
      <c r="E22" s="26" t="s">
        <v>251</v>
      </c>
      <c r="F22" s="26" t="s">
        <v>220</v>
      </c>
      <c r="G22" s="26"/>
      <c r="H22" s="29"/>
      <c r="I22" s="30"/>
      <c r="J22" s="25" t="s">
        <v>220</v>
      </c>
      <c r="K22" s="33" t="s">
        <v>188</v>
      </c>
      <c r="L22" s="26" t="s">
        <v>252</v>
      </c>
    </row>
    <row r="23" spans="2:12" ht="30" customHeight="1" x14ac:dyDescent="0.3">
      <c r="B23" s="39"/>
      <c r="C23" s="25">
        <v>14</v>
      </c>
      <c r="D23" s="26" t="s">
        <v>253</v>
      </c>
      <c r="E23" s="26" t="s">
        <v>254</v>
      </c>
      <c r="F23" s="26" t="s">
        <v>255</v>
      </c>
      <c r="G23" s="26"/>
      <c r="H23" s="29"/>
      <c r="I23" s="30"/>
      <c r="J23" s="25" t="s">
        <v>187</v>
      </c>
      <c r="K23" s="33" t="s">
        <v>188</v>
      </c>
      <c r="L23" s="26" t="s">
        <v>256</v>
      </c>
    </row>
    <row r="24" spans="2:12" ht="30" customHeight="1" x14ac:dyDescent="0.3">
      <c r="B24" s="39"/>
      <c r="C24" s="25">
        <v>15</v>
      </c>
      <c r="D24" s="26" t="s">
        <v>253</v>
      </c>
      <c r="E24" s="26" t="s">
        <v>257</v>
      </c>
      <c r="F24" s="26" t="s">
        <v>258</v>
      </c>
      <c r="G24" s="26"/>
      <c r="H24" s="29"/>
      <c r="I24" s="30"/>
      <c r="J24" s="25" t="s">
        <v>238</v>
      </c>
      <c r="K24" s="33" t="s">
        <v>188</v>
      </c>
      <c r="L24" s="26" t="s">
        <v>259</v>
      </c>
    </row>
    <row r="25" spans="2:12" ht="30" customHeight="1" x14ac:dyDescent="0.3">
      <c r="B25" s="39"/>
      <c r="C25" s="25">
        <v>16</v>
      </c>
      <c r="D25" s="26" t="s">
        <v>253</v>
      </c>
      <c r="E25" s="26" t="s">
        <v>260</v>
      </c>
      <c r="F25" s="26" t="s">
        <v>261</v>
      </c>
      <c r="G25" s="26"/>
      <c r="H25" s="29"/>
      <c r="I25" s="30"/>
      <c r="J25" s="25" t="s">
        <v>238</v>
      </c>
      <c r="K25" s="33" t="s">
        <v>188</v>
      </c>
      <c r="L25" s="26" t="s">
        <v>262</v>
      </c>
    </row>
    <row r="26" spans="2:12" ht="30" customHeight="1" x14ac:dyDescent="0.3">
      <c r="B26" s="39"/>
      <c r="C26" s="25">
        <v>17</v>
      </c>
      <c r="D26" s="26" t="s">
        <v>253</v>
      </c>
      <c r="E26" s="26" t="s">
        <v>263</v>
      </c>
      <c r="F26" s="26" t="s">
        <v>238</v>
      </c>
      <c r="G26" s="26"/>
      <c r="H26" s="29"/>
      <c r="I26" s="30"/>
      <c r="J26" s="25" t="s">
        <v>238</v>
      </c>
      <c r="K26" s="33" t="s">
        <v>188</v>
      </c>
      <c r="L26" s="26" t="s">
        <v>264</v>
      </c>
    </row>
    <row r="27" spans="2:12" ht="45" customHeight="1" x14ac:dyDescent="0.3">
      <c r="B27" s="39"/>
      <c r="C27" s="25">
        <v>18</v>
      </c>
      <c r="D27" s="26" t="s">
        <v>253</v>
      </c>
      <c r="E27" s="26" t="s">
        <v>265</v>
      </c>
      <c r="F27" s="26" t="s">
        <v>266</v>
      </c>
      <c r="G27" s="27" t="s">
        <v>267</v>
      </c>
      <c r="H27" s="29"/>
      <c r="I27" s="30"/>
      <c r="J27" s="25" t="s">
        <v>238</v>
      </c>
      <c r="K27" s="34" t="s">
        <v>195</v>
      </c>
      <c r="L27" s="26" t="s">
        <v>268</v>
      </c>
    </row>
    <row r="28" spans="2:12" ht="30" customHeight="1" x14ac:dyDescent="0.3">
      <c r="B28" s="39"/>
      <c r="C28" s="25">
        <v>19</v>
      </c>
      <c r="D28" s="26" t="s">
        <v>269</v>
      </c>
      <c r="E28" s="26" t="s">
        <v>270</v>
      </c>
      <c r="F28" s="26" t="s">
        <v>271</v>
      </c>
      <c r="G28" s="26"/>
      <c r="H28" s="29"/>
      <c r="I28" s="30"/>
      <c r="J28" s="25" t="s">
        <v>246</v>
      </c>
      <c r="K28" s="33" t="s">
        <v>188</v>
      </c>
      <c r="L28" s="26" t="s">
        <v>272</v>
      </c>
    </row>
    <row r="29" spans="2:12" ht="30" customHeight="1" x14ac:dyDescent="0.3">
      <c r="B29" s="39"/>
      <c r="C29" s="25">
        <v>20</v>
      </c>
      <c r="D29" s="26" t="s">
        <v>273</v>
      </c>
      <c r="E29" s="26" t="s">
        <v>274</v>
      </c>
      <c r="F29" s="26" t="s">
        <v>275</v>
      </c>
      <c r="G29" s="26"/>
      <c r="H29" s="29"/>
      <c r="I29" s="30"/>
      <c r="J29" s="25" t="s">
        <v>187</v>
      </c>
      <c r="K29" s="33" t="s">
        <v>188</v>
      </c>
      <c r="L29" s="26" t="s">
        <v>276</v>
      </c>
    </row>
    <row r="30" spans="2:12" ht="30" customHeight="1" x14ac:dyDescent="0.3">
      <c r="B30" s="39"/>
      <c r="C30" s="25">
        <v>21</v>
      </c>
      <c r="D30" s="26" t="s">
        <v>277</v>
      </c>
      <c r="E30" s="26" t="s">
        <v>278</v>
      </c>
      <c r="F30" s="26" t="s">
        <v>279</v>
      </c>
      <c r="G30" s="26"/>
      <c r="H30" s="29"/>
      <c r="I30" s="30"/>
      <c r="J30" s="25" t="s">
        <v>187</v>
      </c>
      <c r="K30" s="33" t="s">
        <v>188</v>
      </c>
      <c r="L30" s="26" t="s">
        <v>280</v>
      </c>
    </row>
    <row r="31" spans="2:12" ht="30" customHeight="1" x14ac:dyDescent="0.3">
      <c r="B31" s="40"/>
      <c r="C31" s="25">
        <v>22</v>
      </c>
      <c r="D31" s="26" t="s">
        <v>269</v>
      </c>
      <c r="E31" s="26" t="s">
        <v>281</v>
      </c>
      <c r="F31" s="26" t="s">
        <v>282</v>
      </c>
      <c r="G31" s="26"/>
      <c r="H31" s="29"/>
      <c r="I31" s="30"/>
      <c r="J31" s="25" t="s">
        <v>238</v>
      </c>
      <c r="K31" s="33" t="s">
        <v>188</v>
      </c>
      <c r="L31" s="26" t="s">
        <v>283</v>
      </c>
    </row>
    <row r="32" spans="2:12" ht="30" customHeight="1" x14ac:dyDescent="0.3">
      <c r="B32" s="38" t="s">
        <v>69</v>
      </c>
      <c r="C32" s="25">
        <v>1</v>
      </c>
      <c r="D32" s="26" t="s">
        <v>284</v>
      </c>
      <c r="E32" s="26" t="s">
        <v>285</v>
      </c>
      <c r="F32" s="26" t="s">
        <v>286</v>
      </c>
      <c r="G32" s="26"/>
      <c r="H32" s="29"/>
      <c r="I32" s="30"/>
      <c r="J32" s="25" t="s">
        <v>207</v>
      </c>
      <c r="K32" s="33" t="s">
        <v>188</v>
      </c>
      <c r="L32" s="26" t="s">
        <v>287</v>
      </c>
    </row>
    <row r="33" spans="2:12" ht="30" customHeight="1" x14ac:dyDescent="0.3">
      <c r="B33" s="39"/>
      <c r="C33" s="25">
        <v>2</v>
      </c>
      <c r="D33" s="26" t="s">
        <v>284</v>
      </c>
      <c r="E33" s="26" t="s">
        <v>288</v>
      </c>
      <c r="F33" s="26" t="s">
        <v>289</v>
      </c>
      <c r="G33" s="26"/>
      <c r="H33" s="29"/>
      <c r="I33" s="30"/>
      <c r="J33" s="25" t="s">
        <v>211</v>
      </c>
      <c r="K33" s="33" t="s">
        <v>188</v>
      </c>
      <c r="L33" s="26" t="s">
        <v>290</v>
      </c>
    </row>
    <row r="34" spans="2:12" ht="30" customHeight="1" x14ac:dyDescent="0.3">
      <c r="B34" s="39"/>
      <c r="C34" s="25">
        <v>3</v>
      </c>
      <c r="D34" s="26" t="s">
        <v>284</v>
      </c>
      <c r="E34" s="26" t="s">
        <v>291</v>
      </c>
      <c r="F34" s="26" t="s">
        <v>292</v>
      </c>
      <c r="G34" s="26"/>
      <c r="H34" s="29"/>
      <c r="I34" s="30"/>
      <c r="J34" s="25" t="s">
        <v>220</v>
      </c>
      <c r="K34" s="33" t="s">
        <v>188</v>
      </c>
      <c r="L34" s="26" t="s">
        <v>293</v>
      </c>
    </row>
    <row r="35" spans="2:12" ht="30" customHeight="1" x14ac:dyDescent="0.3">
      <c r="B35" s="39"/>
      <c r="C35" s="25">
        <v>4</v>
      </c>
      <c r="D35" s="26" t="s">
        <v>284</v>
      </c>
      <c r="E35" s="26" t="s">
        <v>294</v>
      </c>
      <c r="F35" s="26" t="s">
        <v>220</v>
      </c>
      <c r="G35" s="26"/>
      <c r="H35" s="29"/>
      <c r="I35" s="30"/>
      <c r="J35" s="25" t="s">
        <v>220</v>
      </c>
      <c r="K35" s="33" t="s">
        <v>188</v>
      </c>
      <c r="L35" s="26" t="s">
        <v>295</v>
      </c>
    </row>
    <row r="36" spans="2:12" ht="45" customHeight="1" x14ac:dyDescent="0.3">
      <c r="B36" s="39"/>
      <c r="C36" s="25">
        <v>5</v>
      </c>
      <c r="D36" s="26" t="s">
        <v>284</v>
      </c>
      <c r="E36" s="26" t="s">
        <v>296</v>
      </c>
      <c r="F36" s="26" t="s">
        <v>297</v>
      </c>
      <c r="G36" s="27" t="s">
        <v>298</v>
      </c>
      <c r="H36" s="29"/>
      <c r="I36" s="30"/>
      <c r="J36" s="25" t="s">
        <v>299</v>
      </c>
      <c r="K36" s="34" t="s">
        <v>195</v>
      </c>
      <c r="L36" s="26" t="s">
        <v>300</v>
      </c>
    </row>
    <row r="37" spans="2:12" ht="30" customHeight="1" x14ac:dyDescent="0.3">
      <c r="B37" s="39"/>
      <c r="C37" s="25">
        <v>6</v>
      </c>
      <c r="D37" s="26" t="s">
        <v>301</v>
      </c>
      <c r="E37" s="26" t="s">
        <v>302</v>
      </c>
      <c r="F37" s="26" t="s">
        <v>303</v>
      </c>
      <c r="G37" s="26"/>
      <c r="H37" s="29"/>
      <c r="I37" s="30"/>
      <c r="J37" s="25" t="s">
        <v>187</v>
      </c>
      <c r="K37" s="33" t="s">
        <v>188</v>
      </c>
      <c r="L37" s="26" t="s">
        <v>304</v>
      </c>
    </row>
    <row r="38" spans="2:12" ht="30" customHeight="1" x14ac:dyDescent="0.3">
      <c r="B38" s="39"/>
      <c r="C38" s="25">
        <v>7</v>
      </c>
      <c r="D38" s="26" t="s">
        <v>305</v>
      </c>
      <c r="E38" s="26" t="s">
        <v>306</v>
      </c>
      <c r="F38" s="26" t="s">
        <v>307</v>
      </c>
      <c r="G38" s="26"/>
      <c r="H38" s="29"/>
      <c r="I38" s="30"/>
      <c r="J38" s="25" t="s">
        <v>246</v>
      </c>
      <c r="K38" s="33" t="s">
        <v>188</v>
      </c>
      <c r="L38" s="26" t="s">
        <v>308</v>
      </c>
    </row>
    <row r="39" spans="2:12" ht="30" customHeight="1" x14ac:dyDescent="0.3">
      <c r="B39" s="39"/>
      <c r="C39" s="25">
        <v>8</v>
      </c>
      <c r="D39" s="26" t="s">
        <v>305</v>
      </c>
      <c r="E39" s="26" t="s">
        <v>309</v>
      </c>
      <c r="F39" s="26" t="s">
        <v>310</v>
      </c>
      <c r="G39" s="26"/>
      <c r="H39" s="29"/>
      <c r="I39" s="30"/>
      <c r="J39" s="25" t="s">
        <v>311</v>
      </c>
      <c r="K39" s="33" t="s">
        <v>188</v>
      </c>
      <c r="L39" s="26" t="s">
        <v>312</v>
      </c>
    </row>
    <row r="40" spans="2:12" ht="30" customHeight="1" x14ac:dyDescent="0.3">
      <c r="B40" s="39"/>
      <c r="C40" s="25">
        <v>9</v>
      </c>
      <c r="D40" s="26" t="s">
        <v>305</v>
      </c>
      <c r="E40" s="26" t="s">
        <v>313</v>
      </c>
      <c r="F40" s="26" t="s">
        <v>314</v>
      </c>
      <c r="G40" s="26"/>
      <c r="H40" s="29"/>
      <c r="I40" s="30"/>
      <c r="J40" s="25" t="s">
        <v>220</v>
      </c>
      <c r="K40" s="33" t="s">
        <v>188</v>
      </c>
      <c r="L40" s="26" t="s">
        <v>315</v>
      </c>
    </row>
    <row r="41" spans="2:12" ht="30" customHeight="1" x14ac:dyDescent="0.3">
      <c r="B41" s="39"/>
      <c r="C41" s="25">
        <v>10</v>
      </c>
      <c r="D41" s="26" t="s">
        <v>316</v>
      </c>
      <c r="E41" s="26" t="s">
        <v>317</v>
      </c>
      <c r="F41" s="26" t="s">
        <v>318</v>
      </c>
      <c r="G41" s="26"/>
      <c r="H41" s="29"/>
      <c r="I41" s="30"/>
      <c r="J41" s="25" t="s">
        <v>246</v>
      </c>
      <c r="K41" s="33" t="s">
        <v>188</v>
      </c>
      <c r="L41" s="26" t="s">
        <v>319</v>
      </c>
    </row>
    <row r="42" spans="2:12" ht="30" customHeight="1" x14ac:dyDescent="0.3">
      <c r="B42" s="39"/>
      <c r="C42" s="25">
        <v>11</v>
      </c>
      <c r="D42" s="26" t="s">
        <v>316</v>
      </c>
      <c r="E42" s="26" t="s">
        <v>320</v>
      </c>
      <c r="F42" s="26" t="s">
        <v>321</v>
      </c>
      <c r="G42" s="26"/>
      <c r="H42" s="29"/>
      <c r="I42" s="30"/>
      <c r="J42" s="25" t="s">
        <v>211</v>
      </c>
      <c r="K42" s="33" t="s">
        <v>188</v>
      </c>
      <c r="L42" s="26" t="s">
        <v>322</v>
      </c>
    </row>
    <row r="43" spans="2:12" ht="45" customHeight="1" x14ac:dyDescent="0.3">
      <c r="B43" s="39"/>
      <c r="C43" s="25">
        <v>12</v>
      </c>
      <c r="D43" s="26" t="s">
        <v>316</v>
      </c>
      <c r="E43" s="26" t="s">
        <v>323</v>
      </c>
      <c r="F43" s="26" t="s">
        <v>324</v>
      </c>
      <c r="G43" s="27" t="s">
        <v>325</v>
      </c>
      <c r="H43" s="29"/>
      <c r="I43" s="30"/>
      <c r="J43" s="25" t="s">
        <v>211</v>
      </c>
      <c r="K43" s="34" t="s">
        <v>195</v>
      </c>
      <c r="L43" s="26" t="s">
        <v>326</v>
      </c>
    </row>
    <row r="44" spans="2:12" ht="30" customHeight="1" x14ac:dyDescent="0.3">
      <c r="B44" s="39"/>
      <c r="C44" s="25">
        <v>13</v>
      </c>
      <c r="D44" s="26" t="s">
        <v>327</v>
      </c>
      <c r="E44" s="26" t="s">
        <v>328</v>
      </c>
      <c r="F44" s="26" t="s">
        <v>329</v>
      </c>
      <c r="G44" s="26"/>
      <c r="H44" s="29"/>
      <c r="I44" s="30"/>
      <c r="J44" s="25" t="s">
        <v>330</v>
      </c>
      <c r="K44" s="33" t="s">
        <v>188</v>
      </c>
      <c r="L44" s="26" t="s">
        <v>331</v>
      </c>
    </row>
    <row r="45" spans="2:12" ht="30" customHeight="1" x14ac:dyDescent="0.3">
      <c r="B45" s="39"/>
      <c r="C45" s="25">
        <v>14</v>
      </c>
      <c r="D45" s="26" t="s">
        <v>332</v>
      </c>
      <c r="E45" s="26" t="s">
        <v>333</v>
      </c>
      <c r="F45" s="26" t="s">
        <v>334</v>
      </c>
      <c r="G45" s="26"/>
      <c r="H45" s="29"/>
      <c r="I45" s="30"/>
      <c r="J45" s="25" t="s">
        <v>211</v>
      </c>
      <c r="K45" s="33" t="s">
        <v>188</v>
      </c>
      <c r="L45" s="26" t="s">
        <v>335</v>
      </c>
    </row>
    <row r="46" spans="2:12" ht="45" customHeight="1" x14ac:dyDescent="0.3">
      <c r="B46" s="39"/>
      <c r="C46" s="25">
        <v>15</v>
      </c>
      <c r="D46" s="26" t="s">
        <v>336</v>
      </c>
      <c r="E46" s="26" t="s">
        <v>337</v>
      </c>
      <c r="F46" s="26" t="s">
        <v>338</v>
      </c>
      <c r="G46" s="27" t="s">
        <v>339</v>
      </c>
      <c r="H46" s="29"/>
      <c r="I46" s="30"/>
      <c r="J46" s="25" t="s">
        <v>340</v>
      </c>
      <c r="K46" s="34" t="s">
        <v>195</v>
      </c>
      <c r="L46" s="26" t="s">
        <v>341</v>
      </c>
    </row>
    <row r="47" spans="2:12" ht="30" customHeight="1" x14ac:dyDescent="0.3">
      <c r="B47" s="39"/>
      <c r="C47" s="25">
        <v>16</v>
      </c>
      <c r="D47" s="26" t="s">
        <v>327</v>
      </c>
      <c r="E47" s="26" t="s">
        <v>342</v>
      </c>
      <c r="F47" s="26" t="s">
        <v>343</v>
      </c>
      <c r="G47" s="26"/>
      <c r="H47" s="29"/>
      <c r="I47" s="30"/>
      <c r="J47" s="25" t="s">
        <v>211</v>
      </c>
      <c r="K47" s="33" t="s">
        <v>188</v>
      </c>
      <c r="L47" s="26" t="s">
        <v>344</v>
      </c>
    </row>
    <row r="48" spans="2:12" ht="30" customHeight="1" x14ac:dyDescent="0.3">
      <c r="B48" s="39"/>
      <c r="C48" s="25">
        <v>17</v>
      </c>
      <c r="D48" s="26" t="s">
        <v>345</v>
      </c>
      <c r="E48" s="26" t="s">
        <v>346</v>
      </c>
      <c r="F48" s="26" t="s">
        <v>347</v>
      </c>
      <c r="G48" s="26"/>
      <c r="H48" s="29"/>
      <c r="I48" s="30"/>
      <c r="J48" s="25" t="s">
        <v>246</v>
      </c>
      <c r="K48" s="33" t="s">
        <v>188</v>
      </c>
      <c r="L48" s="26" t="s">
        <v>348</v>
      </c>
    </row>
    <row r="49" spans="2:12" ht="45" customHeight="1" x14ac:dyDescent="0.3">
      <c r="B49" s="39"/>
      <c r="C49" s="25">
        <v>18</v>
      </c>
      <c r="D49" s="26" t="s">
        <v>349</v>
      </c>
      <c r="E49" s="26" t="s">
        <v>350</v>
      </c>
      <c r="F49" s="26" t="s">
        <v>351</v>
      </c>
      <c r="G49" s="26"/>
      <c r="H49" s="29"/>
      <c r="I49" s="30"/>
      <c r="J49" s="25" t="s">
        <v>211</v>
      </c>
      <c r="K49" s="33" t="s">
        <v>188</v>
      </c>
      <c r="L49" s="26" t="s">
        <v>352</v>
      </c>
    </row>
    <row r="50" spans="2:12" ht="30" customHeight="1" x14ac:dyDescent="0.3">
      <c r="B50" s="39"/>
      <c r="C50" s="25">
        <v>19</v>
      </c>
      <c r="D50" s="26" t="s">
        <v>353</v>
      </c>
      <c r="E50" s="26" t="s">
        <v>354</v>
      </c>
      <c r="F50" s="26" t="s">
        <v>355</v>
      </c>
      <c r="G50" s="26"/>
      <c r="H50" s="29"/>
      <c r="I50" s="30"/>
      <c r="J50" s="25" t="s">
        <v>311</v>
      </c>
      <c r="K50" s="33" t="s">
        <v>188</v>
      </c>
      <c r="L50" s="26" t="s">
        <v>356</v>
      </c>
    </row>
    <row r="51" spans="2:12" ht="30" customHeight="1" x14ac:dyDescent="0.3">
      <c r="B51" s="39"/>
      <c r="C51" s="25">
        <v>20</v>
      </c>
      <c r="D51" s="26" t="s">
        <v>357</v>
      </c>
      <c r="E51" s="26" t="s">
        <v>358</v>
      </c>
      <c r="F51" s="26" t="s">
        <v>359</v>
      </c>
      <c r="G51" s="26"/>
      <c r="H51" s="29"/>
      <c r="I51" s="30"/>
      <c r="J51" s="25" t="s">
        <v>187</v>
      </c>
      <c r="K51" s="33" t="s">
        <v>188</v>
      </c>
      <c r="L51" s="26" t="s">
        <v>360</v>
      </c>
    </row>
    <row r="52" spans="2:12" ht="30" customHeight="1" x14ac:dyDescent="0.3">
      <c r="B52" s="39"/>
      <c r="C52" s="25">
        <v>21</v>
      </c>
      <c r="D52" s="26" t="s">
        <v>361</v>
      </c>
      <c r="E52" s="26" t="s">
        <v>362</v>
      </c>
      <c r="F52" s="26" t="s">
        <v>363</v>
      </c>
      <c r="G52" s="26"/>
      <c r="H52" s="29"/>
      <c r="I52" s="30"/>
      <c r="J52" s="25" t="s">
        <v>364</v>
      </c>
      <c r="K52" s="33" t="s">
        <v>188</v>
      </c>
      <c r="L52" s="26" t="s">
        <v>365</v>
      </c>
    </row>
    <row r="53" spans="2:12" ht="30" customHeight="1" x14ac:dyDescent="0.3">
      <c r="B53" s="39"/>
      <c r="C53" s="25">
        <v>22</v>
      </c>
      <c r="D53" s="26" t="s">
        <v>305</v>
      </c>
      <c r="E53" s="26" t="s">
        <v>366</v>
      </c>
      <c r="F53" s="26" t="s">
        <v>367</v>
      </c>
      <c r="G53" s="26"/>
      <c r="H53" s="29"/>
      <c r="I53" s="30"/>
      <c r="J53" s="25" t="s">
        <v>311</v>
      </c>
      <c r="K53" s="33" t="s">
        <v>188</v>
      </c>
      <c r="L53" s="26" t="s">
        <v>368</v>
      </c>
    </row>
    <row r="54" spans="2:12" ht="30" customHeight="1" x14ac:dyDescent="0.3">
      <c r="B54" s="39"/>
      <c r="C54" s="25">
        <v>23</v>
      </c>
      <c r="D54" s="26" t="s">
        <v>361</v>
      </c>
      <c r="E54" s="26" t="s">
        <v>369</v>
      </c>
      <c r="F54" s="26" t="s">
        <v>370</v>
      </c>
      <c r="G54" s="26"/>
      <c r="H54" s="29"/>
      <c r="I54" s="30"/>
      <c r="J54" s="25" t="s">
        <v>311</v>
      </c>
      <c r="K54" s="33" t="s">
        <v>188</v>
      </c>
      <c r="L54" s="26" t="s">
        <v>371</v>
      </c>
    </row>
    <row r="55" spans="2:12" ht="30" customHeight="1" x14ac:dyDescent="0.3">
      <c r="B55" s="40"/>
      <c r="C55" s="25">
        <v>24</v>
      </c>
      <c r="D55" s="26" t="s">
        <v>361</v>
      </c>
      <c r="E55" s="26" t="s">
        <v>372</v>
      </c>
      <c r="F55" s="26" t="s">
        <v>373</v>
      </c>
      <c r="G55" s="26"/>
      <c r="H55" s="29"/>
      <c r="I55" s="30"/>
      <c r="J55" s="25" t="s">
        <v>246</v>
      </c>
      <c r="K55" s="33" t="s">
        <v>188</v>
      </c>
      <c r="L55" s="26" t="s">
        <v>374</v>
      </c>
    </row>
    <row r="56" spans="2:12" ht="30" customHeight="1" x14ac:dyDescent="0.3">
      <c r="B56" s="38" t="s">
        <v>93</v>
      </c>
      <c r="C56" s="25">
        <v>1</v>
      </c>
      <c r="D56" s="26" t="s">
        <v>375</v>
      </c>
      <c r="E56" s="26" t="s">
        <v>376</v>
      </c>
      <c r="F56" s="26" t="s">
        <v>377</v>
      </c>
      <c r="G56" s="26"/>
      <c r="H56" s="29"/>
      <c r="I56" s="30"/>
      <c r="J56" s="25" t="s">
        <v>207</v>
      </c>
      <c r="K56" s="33" t="s">
        <v>188</v>
      </c>
      <c r="L56" s="26" t="s">
        <v>378</v>
      </c>
    </row>
    <row r="57" spans="2:12" ht="30" customHeight="1" x14ac:dyDescent="0.3">
      <c r="B57" s="39"/>
      <c r="C57" s="25">
        <v>2</v>
      </c>
      <c r="D57" s="26" t="s">
        <v>379</v>
      </c>
      <c r="E57" s="26" t="s">
        <v>380</v>
      </c>
      <c r="F57" s="26" t="s">
        <v>246</v>
      </c>
      <c r="G57" s="26"/>
      <c r="H57" s="29"/>
      <c r="I57" s="30"/>
      <c r="J57" s="25" t="s">
        <v>246</v>
      </c>
      <c r="K57" s="33" t="s">
        <v>188</v>
      </c>
      <c r="L57" s="26" t="s">
        <v>381</v>
      </c>
    </row>
    <row r="58" spans="2:12" ht="30" customHeight="1" x14ac:dyDescent="0.3">
      <c r="B58" s="39"/>
      <c r="C58" s="25">
        <v>3</v>
      </c>
      <c r="D58" s="26" t="s">
        <v>379</v>
      </c>
      <c r="E58" s="26" t="s">
        <v>382</v>
      </c>
      <c r="F58" s="26" t="s">
        <v>383</v>
      </c>
      <c r="G58" s="26"/>
      <c r="H58" s="29"/>
      <c r="I58" s="30"/>
      <c r="J58" s="25" t="s">
        <v>211</v>
      </c>
      <c r="K58" s="33" t="s">
        <v>188</v>
      </c>
      <c r="L58" s="26" t="s">
        <v>384</v>
      </c>
    </row>
    <row r="59" spans="2:12" ht="30" customHeight="1" x14ac:dyDescent="0.3">
      <c r="B59" s="39"/>
      <c r="C59" s="25">
        <v>4</v>
      </c>
      <c r="D59" s="26" t="s">
        <v>379</v>
      </c>
      <c r="E59" s="26" t="s">
        <v>385</v>
      </c>
      <c r="F59" s="26" t="s">
        <v>386</v>
      </c>
      <c r="G59" s="26"/>
      <c r="H59" s="29"/>
      <c r="I59" s="30"/>
      <c r="J59" s="25" t="s">
        <v>220</v>
      </c>
      <c r="K59" s="33" t="s">
        <v>188</v>
      </c>
      <c r="L59" s="26" t="s">
        <v>387</v>
      </c>
    </row>
    <row r="60" spans="2:12" ht="15" customHeight="1" x14ac:dyDescent="0.3">
      <c r="B60" s="39"/>
      <c r="C60" s="25">
        <v>5</v>
      </c>
      <c r="D60" s="26" t="s">
        <v>379</v>
      </c>
      <c r="E60" s="26" t="s">
        <v>388</v>
      </c>
      <c r="F60" s="26" t="s">
        <v>220</v>
      </c>
      <c r="G60" s="26"/>
      <c r="H60" s="29"/>
      <c r="I60" s="30"/>
      <c r="J60" s="25" t="s">
        <v>220</v>
      </c>
      <c r="K60" s="33" t="s">
        <v>188</v>
      </c>
      <c r="L60" s="26" t="s">
        <v>389</v>
      </c>
    </row>
    <row r="61" spans="2:12" ht="45" customHeight="1" x14ac:dyDescent="0.3">
      <c r="B61" s="39"/>
      <c r="C61" s="25">
        <v>6</v>
      </c>
      <c r="D61" s="26" t="s">
        <v>379</v>
      </c>
      <c r="E61" s="26" t="s">
        <v>390</v>
      </c>
      <c r="F61" s="26" t="s">
        <v>391</v>
      </c>
      <c r="G61" s="27" t="s">
        <v>392</v>
      </c>
      <c r="H61" s="29"/>
      <c r="I61" s="30"/>
      <c r="J61" s="25" t="s">
        <v>393</v>
      </c>
      <c r="K61" s="34" t="s">
        <v>195</v>
      </c>
      <c r="L61" s="26" t="s">
        <v>394</v>
      </c>
    </row>
    <row r="62" spans="2:12" ht="30" customHeight="1" x14ac:dyDescent="0.3">
      <c r="B62" s="39"/>
      <c r="C62" s="25">
        <v>7</v>
      </c>
      <c r="D62" s="26" t="s">
        <v>375</v>
      </c>
      <c r="E62" s="26" t="s">
        <v>395</v>
      </c>
      <c r="F62" s="26" t="s">
        <v>396</v>
      </c>
      <c r="G62" s="26"/>
      <c r="H62" s="29"/>
      <c r="I62" s="30"/>
      <c r="J62" s="25" t="s">
        <v>311</v>
      </c>
      <c r="K62" s="33" t="s">
        <v>188</v>
      </c>
      <c r="L62" s="26" t="s">
        <v>397</v>
      </c>
    </row>
    <row r="63" spans="2:12" ht="30" customHeight="1" x14ac:dyDescent="0.3">
      <c r="B63" s="39"/>
      <c r="C63" s="25">
        <v>8</v>
      </c>
      <c r="D63" s="26" t="s">
        <v>398</v>
      </c>
      <c r="E63" s="26" t="s">
        <v>399</v>
      </c>
      <c r="F63" s="26" t="s">
        <v>400</v>
      </c>
      <c r="G63" s="26"/>
      <c r="H63" s="29"/>
      <c r="I63" s="30"/>
      <c r="J63" s="25" t="s">
        <v>187</v>
      </c>
      <c r="K63" s="33" t="s">
        <v>188</v>
      </c>
      <c r="L63" s="26" t="s">
        <v>401</v>
      </c>
    </row>
    <row r="64" spans="2:12" ht="45" customHeight="1" x14ac:dyDescent="0.3">
      <c r="B64" s="39"/>
      <c r="C64" s="25">
        <v>9</v>
      </c>
      <c r="D64" s="26" t="s">
        <v>402</v>
      </c>
      <c r="E64" s="26" t="s">
        <v>399</v>
      </c>
      <c r="F64" s="26" t="s">
        <v>403</v>
      </c>
      <c r="G64" s="27" t="s">
        <v>404</v>
      </c>
      <c r="H64" s="29"/>
      <c r="I64" s="30"/>
      <c r="J64" s="25" t="s">
        <v>405</v>
      </c>
      <c r="K64" s="34" t="s">
        <v>195</v>
      </c>
      <c r="L64" s="26" t="s">
        <v>406</v>
      </c>
    </row>
    <row r="65" spans="2:12" ht="30" customHeight="1" x14ac:dyDescent="0.3">
      <c r="B65" s="39"/>
      <c r="C65" s="25">
        <v>10</v>
      </c>
      <c r="D65" s="26" t="s">
        <v>407</v>
      </c>
      <c r="E65" s="26" t="s">
        <v>408</v>
      </c>
      <c r="F65" s="26" t="s">
        <v>409</v>
      </c>
      <c r="G65" s="26"/>
      <c r="H65" s="29"/>
      <c r="I65" s="30"/>
      <c r="J65" s="25" t="s">
        <v>187</v>
      </c>
      <c r="K65" s="33" t="s">
        <v>188</v>
      </c>
      <c r="L65" s="26" t="s">
        <v>410</v>
      </c>
    </row>
    <row r="66" spans="2:12" ht="45" customHeight="1" x14ac:dyDescent="0.3">
      <c r="B66" s="39"/>
      <c r="C66" s="25">
        <v>11</v>
      </c>
      <c r="D66" s="26" t="s">
        <v>411</v>
      </c>
      <c r="E66" s="26" t="s">
        <v>412</v>
      </c>
      <c r="F66" s="26" t="s">
        <v>413</v>
      </c>
      <c r="G66" s="26"/>
      <c r="H66" s="29"/>
      <c r="I66" s="30"/>
      <c r="J66" s="25" t="s">
        <v>187</v>
      </c>
      <c r="K66" s="33" t="s">
        <v>188</v>
      </c>
      <c r="L66" s="26" t="s">
        <v>414</v>
      </c>
    </row>
    <row r="67" spans="2:12" ht="30" customHeight="1" x14ac:dyDescent="0.3">
      <c r="B67" s="39"/>
      <c r="C67" s="25">
        <v>12</v>
      </c>
      <c r="D67" s="26" t="s">
        <v>411</v>
      </c>
      <c r="E67" s="26" t="s">
        <v>415</v>
      </c>
      <c r="F67" s="26" t="s">
        <v>311</v>
      </c>
      <c r="G67" s="26"/>
      <c r="H67" s="29"/>
      <c r="I67" s="30"/>
      <c r="J67" s="25" t="s">
        <v>311</v>
      </c>
      <c r="K67" s="33" t="s">
        <v>188</v>
      </c>
      <c r="L67" s="26" t="s">
        <v>416</v>
      </c>
    </row>
    <row r="68" spans="2:12" ht="30" customHeight="1" x14ac:dyDescent="0.3">
      <c r="B68" s="39"/>
      <c r="C68" s="25">
        <v>13</v>
      </c>
      <c r="D68" s="26" t="s">
        <v>411</v>
      </c>
      <c r="E68" s="26" t="s">
        <v>417</v>
      </c>
      <c r="F68" s="26" t="s">
        <v>246</v>
      </c>
      <c r="G68" s="26"/>
      <c r="H68" s="29"/>
      <c r="I68" s="30"/>
      <c r="J68" s="25" t="s">
        <v>246</v>
      </c>
      <c r="K68" s="33" t="s">
        <v>188</v>
      </c>
      <c r="L68" s="26" t="s">
        <v>418</v>
      </c>
    </row>
    <row r="69" spans="2:12" ht="30" customHeight="1" x14ac:dyDescent="0.3">
      <c r="B69" s="39"/>
      <c r="C69" s="25">
        <v>14</v>
      </c>
      <c r="D69" s="26" t="s">
        <v>419</v>
      </c>
      <c r="E69" s="26" t="s">
        <v>420</v>
      </c>
      <c r="F69" s="26" t="s">
        <v>321</v>
      </c>
      <c r="G69" s="26"/>
      <c r="H69" s="29"/>
      <c r="I69" s="30"/>
      <c r="J69" s="25" t="s">
        <v>211</v>
      </c>
      <c r="K69" s="33" t="s">
        <v>188</v>
      </c>
      <c r="L69" s="26" t="s">
        <v>421</v>
      </c>
    </row>
    <row r="70" spans="2:12" ht="30" customHeight="1" x14ac:dyDescent="0.3">
      <c r="B70" s="39"/>
      <c r="C70" s="25">
        <v>15</v>
      </c>
      <c r="D70" s="26" t="s">
        <v>419</v>
      </c>
      <c r="E70" s="26" t="s">
        <v>422</v>
      </c>
      <c r="F70" s="26" t="s">
        <v>423</v>
      </c>
      <c r="G70" s="26"/>
      <c r="H70" s="29"/>
      <c r="I70" s="30"/>
      <c r="J70" s="25" t="s">
        <v>211</v>
      </c>
      <c r="K70" s="33" t="s">
        <v>188</v>
      </c>
      <c r="L70" s="26" t="s">
        <v>424</v>
      </c>
    </row>
    <row r="71" spans="2:12" ht="30" customHeight="1" x14ac:dyDescent="0.3">
      <c r="B71" s="39"/>
      <c r="C71" s="25">
        <v>16</v>
      </c>
      <c r="D71" s="26" t="s">
        <v>419</v>
      </c>
      <c r="E71" s="26" t="s">
        <v>425</v>
      </c>
      <c r="F71" s="26" t="s">
        <v>426</v>
      </c>
      <c r="G71" s="26"/>
      <c r="H71" s="29"/>
      <c r="I71" s="30"/>
      <c r="J71" s="25" t="s">
        <v>187</v>
      </c>
      <c r="K71" s="33" t="s">
        <v>188</v>
      </c>
      <c r="L71" s="26" t="s">
        <v>427</v>
      </c>
    </row>
    <row r="72" spans="2:12" ht="15" customHeight="1" x14ac:dyDescent="0.3">
      <c r="B72" s="39"/>
      <c r="C72" s="25">
        <v>17</v>
      </c>
      <c r="D72" s="26" t="s">
        <v>419</v>
      </c>
      <c r="E72" s="26" t="s">
        <v>415</v>
      </c>
      <c r="F72" s="26" t="s">
        <v>311</v>
      </c>
      <c r="G72" s="26"/>
      <c r="H72" s="29"/>
      <c r="I72" s="30"/>
      <c r="J72" s="25" t="s">
        <v>311</v>
      </c>
      <c r="K72" s="33" t="s">
        <v>188</v>
      </c>
      <c r="L72" s="26" t="s">
        <v>428</v>
      </c>
    </row>
    <row r="73" spans="2:12" ht="30" customHeight="1" x14ac:dyDescent="0.3">
      <c r="B73" s="39"/>
      <c r="C73" s="25">
        <v>18</v>
      </c>
      <c r="D73" s="26" t="s">
        <v>429</v>
      </c>
      <c r="E73" s="26" t="s">
        <v>430</v>
      </c>
      <c r="F73" s="26" t="s">
        <v>431</v>
      </c>
      <c r="G73" s="26"/>
      <c r="H73" s="29"/>
      <c r="I73" s="30"/>
      <c r="J73" s="25" t="s">
        <v>246</v>
      </c>
      <c r="K73" s="33" t="s">
        <v>188</v>
      </c>
      <c r="L73" s="26" t="s">
        <v>432</v>
      </c>
    </row>
    <row r="74" spans="2:12" ht="30" customHeight="1" x14ac:dyDescent="0.3">
      <c r="B74" s="39"/>
      <c r="C74" s="25">
        <v>19</v>
      </c>
      <c r="D74" s="26" t="s">
        <v>429</v>
      </c>
      <c r="E74" s="26" t="s">
        <v>433</v>
      </c>
      <c r="F74" s="26" t="s">
        <v>364</v>
      </c>
      <c r="G74" s="26"/>
      <c r="H74" s="29"/>
      <c r="I74" s="30"/>
      <c r="J74" s="25" t="s">
        <v>364</v>
      </c>
      <c r="K74" s="33" t="s">
        <v>188</v>
      </c>
      <c r="L74" s="26" t="s">
        <v>434</v>
      </c>
    </row>
    <row r="75" spans="2:12" ht="30" customHeight="1" x14ac:dyDescent="0.3">
      <c r="B75" s="39"/>
      <c r="C75" s="25">
        <v>20</v>
      </c>
      <c r="D75" s="26" t="s">
        <v>429</v>
      </c>
      <c r="E75" s="26" t="s">
        <v>435</v>
      </c>
      <c r="F75" s="26" t="s">
        <v>311</v>
      </c>
      <c r="G75" s="26"/>
      <c r="H75" s="29"/>
      <c r="I75" s="30"/>
      <c r="J75" s="25" t="s">
        <v>311</v>
      </c>
      <c r="K75" s="33" t="s">
        <v>188</v>
      </c>
      <c r="L75" s="26" t="s">
        <v>436</v>
      </c>
    </row>
    <row r="76" spans="2:12" ht="45" customHeight="1" x14ac:dyDescent="0.3">
      <c r="B76" s="40"/>
      <c r="C76" s="25">
        <v>21</v>
      </c>
      <c r="D76" s="26" t="s">
        <v>411</v>
      </c>
      <c r="E76" s="26" t="s">
        <v>437</v>
      </c>
      <c r="F76" s="26" t="s">
        <v>438</v>
      </c>
      <c r="G76" s="27" t="s">
        <v>439</v>
      </c>
      <c r="H76" s="29"/>
      <c r="I76" s="30"/>
      <c r="J76" s="25" t="s">
        <v>440</v>
      </c>
      <c r="K76" s="34" t="s">
        <v>195</v>
      </c>
      <c r="L76" s="26" t="s">
        <v>441</v>
      </c>
    </row>
    <row r="77" spans="2:12" ht="45" customHeight="1" x14ac:dyDescent="0.3">
      <c r="B77" s="38" t="s">
        <v>124</v>
      </c>
      <c r="C77" s="25">
        <v>1</v>
      </c>
      <c r="D77" s="26" t="s">
        <v>442</v>
      </c>
      <c r="E77" s="26" t="s">
        <v>443</v>
      </c>
      <c r="F77" s="26" t="s">
        <v>444</v>
      </c>
      <c r="G77" s="26"/>
      <c r="H77" s="29"/>
      <c r="I77" s="30"/>
      <c r="J77" s="25" t="s">
        <v>445</v>
      </c>
      <c r="K77" s="33" t="s">
        <v>188</v>
      </c>
      <c r="L77" s="26" t="s">
        <v>446</v>
      </c>
    </row>
    <row r="78" spans="2:12" ht="45" customHeight="1" x14ac:dyDescent="0.3">
      <c r="B78" s="39"/>
      <c r="C78" s="25">
        <v>2</v>
      </c>
      <c r="D78" s="26" t="s">
        <v>447</v>
      </c>
      <c r="E78" s="26" t="s">
        <v>448</v>
      </c>
      <c r="F78" s="26" t="s">
        <v>449</v>
      </c>
      <c r="G78" s="26"/>
      <c r="H78" s="29"/>
      <c r="I78" s="30"/>
      <c r="J78" s="25" t="s">
        <v>207</v>
      </c>
      <c r="K78" s="33" t="s">
        <v>188</v>
      </c>
      <c r="L78" s="26" t="s">
        <v>450</v>
      </c>
    </row>
    <row r="79" spans="2:12" ht="30" customHeight="1" x14ac:dyDescent="0.3">
      <c r="B79" s="39"/>
      <c r="C79" s="25">
        <v>3</v>
      </c>
      <c r="D79" s="26" t="s">
        <v>451</v>
      </c>
      <c r="E79" s="26" t="s">
        <v>452</v>
      </c>
      <c r="F79" s="26" t="s">
        <v>453</v>
      </c>
      <c r="G79" s="26"/>
      <c r="H79" s="29"/>
      <c r="I79" s="30"/>
      <c r="J79" s="25" t="s">
        <v>211</v>
      </c>
      <c r="K79" s="33" t="s">
        <v>188</v>
      </c>
      <c r="L79" s="26" t="s">
        <v>454</v>
      </c>
    </row>
    <row r="80" spans="2:12" ht="30" customHeight="1" x14ac:dyDescent="0.3">
      <c r="B80" s="39"/>
      <c r="C80" s="25">
        <v>4</v>
      </c>
      <c r="D80" s="26" t="s">
        <v>451</v>
      </c>
      <c r="E80" s="26" t="s">
        <v>455</v>
      </c>
      <c r="F80" s="26" t="s">
        <v>456</v>
      </c>
      <c r="G80" s="26"/>
      <c r="H80" s="29"/>
      <c r="I80" s="30"/>
      <c r="J80" s="25" t="s">
        <v>211</v>
      </c>
      <c r="K80" s="33" t="s">
        <v>188</v>
      </c>
      <c r="L80" s="26" t="s">
        <v>457</v>
      </c>
    </row>
    <row r="81" spans="2:12" ht="30" customHeight="1" x14ac:dyDescent="0.3">
      <c r="B81" s="39"/>
      <c r="C81" s="25">
        <v>5</v>
      </c>
      <c r="D81" s="26" t="s">
        <v>451</v>
      </c>
      <c r="E81" s="26" t="s">
        <v>458</v>
      </c>
      <c r="F81" s="26" t="s">
        <v>459</v>
      </c>
      <c r="G81" s="27" t="s">
        <v>460</v>
      </c>
      <c r="H81" s="29"/>
      <c r="I81" s="30"/>
      <c r="J81" s="25" t="s">
        <v>461</v>
      </c>
      <c r="K81" s="34" t="s">
        <v>195</v>
      </c>
      <c r="L81" s="26" t="s">
        <v>462</v>
      </c>
    </row>
    <row r="82" spans="2:12" ht="30" customHeight="1" x14ac:dyDescent="0.3">
      <c r="B82" s="39"/>
      <c r="C82" s="25">
        <v>6</v>
      </c>
      <c r="D82" s="26" t="s">
        <v>451</v>
      </c>
      <c r="E82" s="26" t="s">
        <v>463</v>
      </c>
      <c r="F82" s="26" t="s">
        <v>220</v>
      </c>
      <c r="G82" s="26"/>
      <c r="H82" s="29"/>
      <c r="I82" s="30"/>
      <c r="J82" s="25" t="s">
        <v>220</v>
      </c>
      <c r="K82" s="33" t="s">
        <v>188</v>
      </c>
      <c r="L82" s="26" t="s">
        <v>464</v>
      </c>
    </row>
    <row r="83" spans="2:12" ht="30" customHeight="1" x14ac:dyDescent="0.3">
      <c r="B83" s="39"/>
      <c r="C83" s="25">
        <v>7</v>
      </c>
      <c r="D83" s="26" t="s">
        <v>451</v>
      </c>
      <c r="E83" s="26" t="s">
        <v>465</v>
      </c>
      <c r="F83" s="26" t="s">
        <v>466</v>
      </c>
      <c r="G83" s="27" t="s">
        <v>467</v>
      </c>
      <c r="H83" s="29"/>
      <c r="I83" s="30"/>
      <c r="J83" s="25" t="s">
        <v>468</v>
      </c>
      <c r="K83" s="34" t="s">
        <v>195</v>
      </c>
      <c r="L83" s="26" t="s">
        <v>469</v>
      </c>
    </row>
    <row r="84" spans="2:12" ht="45" customHeight="1" x14ac:dyDescent="0.3">
      <c r="B84" s="39"/>
      <c r="C84" s="25">
        <v>8</v>
      </c>
      <c r="D84" s="26" t="s">
        <v>451</v>
      </c>
      <c r="E84" s="26" t="s">
        <v>470</v>
      </c>
      <c r="F84" s="26" t="s">
        <v>471</v>
      </c>
      <c r="G84" s="26"/>
      <c r="H84" s="29"/>
      <c r="I84" s="30"/>
      <c r="J84" s="25" t="s">
        <v>207</v>
      </c>
      <c r="K84" s="33" t="s">
        <v>188</v>
      </c>
      <c r="L84" s="26" t="s">
        <v>472</v>
      </c>
    </row>
    <row r="85" spans="2:12" ht="30" customHeight="1" x14ac:dyDescent="0.3">
      <c r="B85" s="39"/>
      <c r="C85" s="25">
        <v>9</v>
      </c>
      <c r="D85" s="26" t="s">
        <v>451</v>
      </c>
      <c r="E85" s="26" t="s">
        <v>473</v>
      </c>
      <c r="F85" s="26" t="s">
        <v>246</v>
      </c>
      <c r="G85" s="26"/>
      <c r="H85" s="29"/>
      <c r="I85" s="30"/>
      <c r="J85" s="25" t="s">
        <v>246</v>
      </c>
      <c r="K85" s="33" t="s">
        <v>188</v>
      </c>
      <c r="L85" s="26" t="s">
        <v>474</v>
      </c>
    </row>
    <row r="86" spans="2:12" ht="45" customHeight="1" x14ac:dyDescent="0.3">
      <c r="B86" s="39"/>
      <c r="C86" s="25">
        <v>10</v>
      </c>
      <c r="D86" s="26" t="s">
        <v>475</v>
      </c>
      <c r="E86" s="26" t="s">
        <v>476</v>
      </c>
      <c r="F86" s="26" t="s">
        <v>477</v>
      </c>
      <c r="G86" s="26"/>
      <c r="H86" s="29"/>
      <c r="I86" s="30"/>
      <c r="J86" s="25" t="s">
        <v>364</v>
      </c>
      <c r="K86" s="33" t="s">
        <v>188</v>
      </c>
      <c r="L86" s="26" t="s">
        <v>478</v>
      </c>
    </row>
    <row r="87" spans="2:12" ht="30" customHeight="1" x14ac:dyDescent="0.3">
      <c r="B87" s="39"/>
      <c r="C87" s="25">
        <v>11</v>
      </c>
      <c r="D87" s="26" t="s">
        <v>479</v>
      </c>
      <c r="E87" s="26" t="s">
        <v>480</v>
      </c>
      <c r="F87" s="26" t="s">
        <v>311</v>
      </c>
      <c r="G87" s="26"/>
      <c r="H87" s="29"/>
      <c r="I87" s="30"/>
      <c r="J87" s="25" t="s">
        <v>311</v>
      </c>
      <c r="K87" s="33" t="s">
        <v>188</v>
      </c>
      <c r="L87" s="26" t="s">
        <v>481</v>
      </c>
    </row>
    <row r="88" spans="2:12" ht="30" customHeight="1" x14ac:dyDescent="0.3">
      <c r="B88" s="39"/>
      <c r="C88" s="25">
        <v>12</v>
      </c>
      <c r="D88" s="26" t="s">
        <v>479</v>
      </c>
      <c r="E88" s="26" t="s">
        <v>482</v>
      </c>
      <c r="F88" s="26" t="s">
        <v>246</v>
      </c>
      <c r="G88" s="26"/>
      <c r="H88" s="29"/>
      <c r="I88" s="30"/>
      <c r="J88" s="25" t="s">
        <v>246</v>
      </c>
      <c r="K88" s="33" t="s">
        <v>188</v>
      </c>
      <c r="L88" s="26" t="s">
        <v>483</v>
      </c>
    </row>
    <row r="89" spans="2:12" ht="30" customHeight="1" x14ac:dyDescent="0.3">
      <c r="B89" s="39"/>
      <c r="C89" s="25">
        <v>13</v>
      </c>
      <c r="D89" s="26" t="s">
        <v>484</v>
      </c>
      <c r="E89" s="26" t="s">
        <v>485</v>
      </c>
      <c r="F89" s="26" t="s">
        <v>486</v>
      </c>
      <c r="G89" s="26"/>
      <c r="H89" s="29"/>
      <c r="I89" s="30"/>
      <c r="J89" s="25" t="s">
        <v>220</v>
      </c>
      <c r="K89" s="33" t="s">
        <v>188</v>
      </c>
      <c r="L89" s="26" t="s">
        <v>487</v>
      </c>
    </row>
    <row r="90" spans="2:12" ht="45" customHeight="1" x14ac:dyDescent="0.3">
      <c r="B90" s="39"/>
      <c r="C90" s="25">
        <v>14</v>
      </c>
      <c r="D90" s="26" t="s">
        <v>488</v>
      </c>
      <c r="E90" s="26" t="s">
        <v>489</v>
      </c>
      <c r="F90" s="26" t="s">
        <v>490</v>
      </c>
      <c r="G90" s="27" t="s">
        <v>491</v>
      </c>
      <c r="H90" s="29"/>
      <c r="I90" s="30"/>
      <c r="J90" s="25" t="s">
        <v>492</v>
      </c>
      <c r="K90" s="34" t="s">
        <v>195</v>
      </c>
      <c r="L90" s="26" t="s">
        <v>493</v>
      </c>
    </row>
    <row r="91" spans="2:12" ht="45" customHeight="1" x14ac:dyDescent="0.3">
      <c r="B91" s="39"/>
      <c r="C91" s="25">
        <v>15</v>
      </c>
      <c r="D91" s="26" t="s">
        <v>494</v>
      </c>
      <c r="E91" s="26" t="s">
        <v>495</v>
      </c>
      <c r="F91" s="26" t="s">
        <v>496</v>
      </c>
      <c r="G91" s="26"/>
      <c r="H91" s="29"/>
      <c r="I91" s="30"/>
      <c r="J91" s="25" t="s">
        <v>497</v>
      </c>
      <c r="K91" s="33" t="s">
        <v>188</v>
      </c>
      <c r="L91" s="26" t="s">
        <v>498</v>
      </c>
    </row>
    <row r="92" spans="2:12" ht="45" customHeight="1" x14ac:dyDescent="0.3">
      <c r="B92" s="40"/>
      <c r="C92" s="25">
        <v>16</v>
      </c>
      <c r="D92" s="26" t="s">
        <v>499</v>
      </c>
      <c r="E92" s="26" t="s">
        <v>500</v>
      </c>
      <c r="F92" s="26" t="s">
        <v>501</v>
      </c>
      <c r="G92" s="26"/>
      <c r="H92" s="29"/>
      <c r="I92" s="30"/>
      <c r="J92" s="25" t="s">
        <v>502</v>
      </c>
      <c r="K92" s="33" t="s">
        <v>188</v>
      </c>
      <c r="L92" s="26" t="s">
        <v>503</v>
      </c>
    </row>
    <row r="93" spans="2:12" x14ac:dyDescent="0.3">
      <c r="B93" s="28"/>
      <c r="C93" s="28"/>
      <c r="D93" s="28"/>
      <c r="E93" s="28"/>
      <c r="F93" s="28"/>
      <c r="G93" s="28"/>
    </row>
    <row r="94" spans="2:12" x14ac:dyDescent="0.3">
      <c r="B94" s="31" t="s">
        <v>504</v>
      </c>
      <c r="C94" s="28"/>
      <c r="D94" s="28"/>
      <c r="E94" s="28"/>
      <c r="F94" s="28"/>
      <c r="G94" s="28"/>
    </row>
    <row r="95" spans="2:12" ht="15.6" x14ac:dyDescent="0.3">
      <c r="B95" s="32" t="s">
        <v>505</v>
      </c>
      <c r="C95" s="28"/>
      <c r="D95" s="28"/>
      <c r="E95" s="28"/>
      <c r="F95" s="28"/>
      <c r="G95" s="28"/>
      <c r="H95" s="28"/>
      <c r="I95" s="28"/>
    </row>
    <row r="96" spans="2:12" x14ac:dyDescent="0.3">
      <c r="B96" s="24" t="s">
        <v>0</v>
      </c>
      <c r="C96" s="24" t="s">
        <v>506</v>
      </c>
      <c r="D96" s="24" t="s">
        <v>507</v>
      </c>
      <c r="E96" s="28"/>
      <c r="F96" s="28"/>
      <c r="G96" s="28"/>
      <c r="H96" s="28"/>
      <c r="I96" s="28"/>
    </row>
    <row r="97" spans="2:9" ht="45" customHeight="1" x14ac:dyDescent="0.3">
      <c r="B97" s="26" t="s">
        <v>8</v>
      </c>
      <c r="C97" s="26" t="s">
        <v>508</v>
      </c>
      <c r="D97" s="26" t="s">
        <v>509</v>
      </c>
      <c r="E97" s="28"/>
      <c r="F97" s="28"/>
      <c r="G97" s="28"/>
      <c r="H97" s="28"/>
      <c r="I97" s="28"/>
    </row>
    <row r="98" spans="2:9" ht="45" customHeight="1" x14ac:dyDescent="0.3">
      <c r="B98" s="26" t="s">
        <v>8</v>
      </c>
      <c r="C98" s="26" t="s">
        <v>510</v>
      </c>
      <c r="D98" s="26" t="s">
        <v>511</v>
      </c>
      <c r="E98" s="28"/>
      <c r="F98" s="28"/>
      <c r="G98" s="28"/>
      <c r="H98" s="28"/>
      <c r="I98" s="28"/>
    </row>
    <row r="99" spans="2:9" ht="45" customHeight="1" x14ac:dyDescent="0.3">
      <c r="B99" s="26" t="s">
        <v>8</v>
      </c>
      <c r="C99" s="26" t="s">
        <v>512</v>
      </c>
      <c r="D99" s="26" t="s">
        <v>513</v>
      </c>
      <c r="E99" s="28"/>
      <c r="F99" s="28"/>
      <c r="G99" s="28"/>
      <c r="H99" s="28"/>
      <c r="I99" s="28"/>
    </row>
    <row r="100" spans="2:9" ht="45" customHeight="1" x14ac:dyDescent="0.3">
      <c r="B100" s="26" t="s">
        <v>8</v>
      </c>
      <c r="C100" s="26" t="s">
        <v>514</v>
      </c>
      <c r="D100" s="26" t="s">
        <v>515</v>
      </c>
      <c r="E100" s="28"/>
      <c r="F100" s="28"/>
      <c r="G100" s="28"/>
      <c r="H100" s="28"/>
      <c r="I100" s="28"/>
    </row>
    <row r="101" spans="2:9" ht="45" customHeight="1" x14ac:dyDescent="0.3">
      <c r="B101" s="26" t="s">
        <v>8</v>
      </c>
      <c r="C101" s="26" t="s">
        <v>516</v>
      </c>
      <c r="D101" s="26" t="s">
        <v>517</v>
      </c>
      <c r="E101" s="28"/>
      <c r="F101" s="28"/>
      <c r="G101" s="28"/>
      <c r="H101" s="28"/>
      <c r="I101" s="28"/>
    </row>
    <row r="102" spans="2:9" ht="45" customHeight="1" x14ac:dyDescent="0.3">
      <c r="B102" s="26" t="s">
        <v>8</v>
      </c>
      <c r="C102" s="26" t="s">
        <v>518</v>
      </c>
      <c r="D102" s="26" t="s">
        <v>519</v>
      </c>
      <c r="E102" s="28"/>
      <c r="F102" s="28"/>
      <c r="G102" s="28"/>
      <c r="H102" s="28"/>
      <c r="I102" s="28"/>
    </row>
    <row r="103" spans="2:9" ht="45" customHeight="1" x14ac:dyDescent="0.3">
      <c r="B103" s="26" t="s">
        <v>39</v>
      </c>
      <c r="C103" s="26" t="s">
        <v>520</v>
      </c>
      <c r="D103" s="26" t="s">
        <v>521</v>
      </c>
      <c r="E103" s="28"/>
      <c r="F103" s="28"/>
      <c r="G103" s="28"/>
      <c r="H103" s="28"/>
      <c r="I103" s="28"/>
    </row>
    <row r="104" spans="2:9" ht="45" customHeight="1" x14ac:dyDescent="0.3">
      <c r="B104" s="26" t="s">
        <v>39</v>
      </c>
      <c r="C104" s="26" t="s">
        <v>522</v>
      </c>
      <c r="D104" s="26" t="s">
        <v>523</v>
      </c>
      <c r="E104" s="28"/>
      <c r="F104" s="28"/>
      <c r="G104" s="28"/>
      <c r="H104" s="28"/>
      <c r="I104" s="28"/>
    </row>
    <row r="105" spans="2:9" ht="45" customHeight="1" x14ac:dyDescent="0.3">
      <c r="B105" s="26" t="s">
        <v>39</v>
      </c>
      <c r="C105" s="26" t="s">
        <v>524</v>
      </c>
      <c r="D105" s="26" t="s">
        <v>525</v>
      </c>
      <c r="E105" s="28"/>
      <c r="F105" s="28"/>
      <c r="G105" s="28"/>
      <c r="H105" s="28"/>
      <c r="I105" s="28"/>
    </row>
    <row r="106" spans="2:9" ht="45" customHeight="1" x14ac:dyDescent="0.3">
      <c r="B106" s="26" t="s">
        <v>39</v>
      </c>
      <c r="C106" s="26" t="s">
        <v>526</v>
      </c>
      <c r="D106" s="26" t="s">
        <v>527</v>
      </c>
      <c r="E106" s="28"/>
      <c r="F106" s="28"/>
      <c r="G106" s="28"/>
      <c r="H106" s="28"/>
      <c r="I106" s="28"/>
    </row>
    <row r="107" spans="2:9" ht="45" customHeight="1" x14ac:dyDescent="0.3">
      <c r="B107" s="26" t="s">
        <v>69</v>
      </c>
      <c r="C107" s="26" t="s">
        <v>528</v>
      </c>
      <c r="D107" s="26" t="s">
        <v>529</v>
      </c>
      <c r="E107" s="28"/>
      <c r="F107" s="28"/>
      <c r="G107" s="28"/>
    </row>
    <row r="108" spans="2:9" ht="45" customHeight="1" x14ac:dyDescent="0.3">
      <c r="B108" s="26" t="s">
        <v>69</v>
      </c>
      <c r="C108" s="26" t="s">
        <v>530</v>
      </c>
      <c r="D108" s="26" t="s">
        <v>531</v>
      </c>
      <c r="E108" s="28"/>
      <c r="F108" s="28"/>
      <c r="G108" s="28"/>
    </row>
    <row r="109" spans="2:9" ht="31.95" customHeight="1" x14ac:dyDescent="0.3">
      <c r="B109" s="26" t="s">
        <v>69</v>
      </c>
      <c r="C109" s="26" t="s">
        <v>532</v>
      </c>
      <c r="D109" s="26" t="s">
        <v>533</v>
      </c>
      <c r="E109" s="28"/>
      <c r="F109" s="28"/>
      <c r="G109" s="28"/>
    </row>
    <row r="110" spans="2:9" ht="45" customHeight="1" x14ac:dyDescent="0.3">
      <c r="B110" s="26" t="s">
        <v>69</v>
      </c>
      <c r="C110" s="26" t="s">
        <v>534</v>
      </c>
      <c r="D110" s="26" t="s">
        <v>535</v>
      </c>
      <c r="E110" s="28"/>
      <c r="F110" s="28"/>
      <c r="G110" s="28"/>
    </row>
    <row r="111" spans="2:9" ht="45" customHeight="1" x14ac:dyDescent="0.3">
      <c r="B111" s="26" t="s">
        <v>93</v>
      </c>
      <c r="C111" s="26" t="s">
        <v>536</v>
      </c>
      <c r="D111" s="26" t="s">
        <v>537</v>
      </c>
      <c r="E111" s="28"/>
      <c r="F111" s="28"/>
      <c r="G111" s="28"/>
    </row>
    <row r="112" spans="2:9" ht="45" customHeight="1" x14ac:dyDescent="0.3">
      <c r="B112" s="26" t="s">
        <v>93</v>
      </c>
      <c r="C112" s="26" t="s">
        <v>538</v>
      </c>
      <c r="D112" s="26" t="s">
        <v>539</v>
      </c>
      <c r="E112" s="28"/>
      <c r="F112" s="28"/>
      <c r="G112" s="28"/>
    </row>
    <row r="113" spans="2:7" ht="45" customHeight="1" x14ac:dyDescent="0.3">
      <c r="B113" s="26" t="s">
        <v>93</v>
      </c>
      <c r="C113" s="26" t="s">
        <v>540</v>
      </c>
      <c r="D113" s="26" t="s">
        <v>541</v>
      </c>
      <c r="E113" s="28"/>
      <c r="F113" s="28"/>
      <c r="G113" s="28"/>
    </row>
    <row r="114" spans="2:7" ht="45" customHeight="1" x14ac:dyDescent="0.3">
      <c r="B114" s="26" t="s">
        <v>93</v>
      </c>
      <c r="C114" s="26" t="s">
        <v>542</v>
      </c>
      <c r="D114" s="26" t="s">
        <v>543</v>
      </c>
      <c r="E114" s="28"/>
      <c r="F114" s="28"/>
      <c r="G114" s="28"/>
    </row>
    <row r="115" spans="2:7" ht="45" customHeight="1" x14ac:dyDescent="0.3">
      <c r="B115" s="26" t="s">
        <v>93</v>
      </c>
      <c r="C115" s="26" t="s">
        <v>544</v>
      </c>
      <c r="D115" s="26" t="s">
        <v>545</v>
      </c>
      <c r="E115" s="28"/>
      <c r="F115" s="28"/>
      <c r="G115" s="28"/>
    </row>
    <row r="116" spans="2:7" ht="45" customHeight="1" x14ac:dyDescent="0.3">
      <c r="B116" s="26" t="s">
        <v>124</v>
      </c>
      <c r="C116" s="26" t="s">
        <v>546</v>
      </c>
      <c r="D116" s="26" t="s">
        <v>547</v>
      </c>
      <c r="E116" s="28"/>
      <c r="F116" s="28"/>
      <c r="G116" s="28"/>
    </row>
    <row r="117" spans="2:7" ht="45" customHeight="1" x14ac:dyDescent="0.3">
      <c r="B117" s="26" t="s">
        <v>124</v>
      </c>
      <c r="C117" s="26" t="s">
        <v>548</v>
      </c>
      <c r="D117" s="26" t="s">
        <v>549</v>
      </c>
      <c r="E117" s="28"/>
      <c r="F117" s="28"/>
      <c r="G117" s="28"/>
    </row>
    <row r="118" spans="2:7" ht="45" customHeight="1" x14ac:dyDescent="0.3">
      <c r="B118" s="26" t="s">
        <v>124</v>
      </c>
      <c r="C118" s="26" t="s">
        <v>550</v>
      </c>
      <c r="D118" s="26" t="s">
        <v>551</v>
      </c>
      <c r="E118" s="28"/>
      <c r="F118" s="28"/>
      <c r="G118" s="28"/>
    </row>
    <row r="119" spans="2:7" ht="45" customHeight="1" x14ac:dyDescent="0.3">
      <c r="B119" s="26" t="s">
        <v>124</v>
      </c>
      <c r="C119" s="26" t="s">
        <v>552</v>
      </c>
      <c r="D119" s="26" t="s">
        <v>553</v>
      </c>
      <c r="E119" s="28"/>
      <c r="F119" s="28"/>
      <c r="G119" s="28"/>
    </row>
    <row r="120" spans="2:7" ht="45" customHeight="1" x14ac:dyDescent="0.3">
      <c r="B120" s="26" t="s">
        <v>124</v>
      </c>
      <c r="C120" s="26" t="s">
        <v>554</v>
      </c>
      <c r="D120" s="26" t="s">
        <v>555</v>
      </c>
      <c r="E120" s="28"/>
      <c r="F120" s="28"/>
      <c r="G120" s="28"/>
    </row>
    <row r="121" spans="2:7" x14ac:dyDescent="0.3">
      <c r="B121" s="28"/>
      <c r="C121" s="28"/>
      <c r="D121" s="28"/>
      <c r="E121" s="28"/>
      <c r="F121" s="28"/>
      <c r="G121" s="28"/>
    </row>
    <row r="122" spans="2:7" x14ac:dyDescent="0.3">
      <c r="B122" s="28"/>
      <c r="C122" s="28"/>
      <c r="D122" s="28"/>
      <c r="E122" s="28"/>
      <c r="F122" s="28"/>
      <c r="G122" s="28"/>
    </row>
    <row r="123" spans="2:7" x14ac:dyDescent="0.3">
      <c r="B123" s="28"/>
      <c r="C123" s="28"/>
      <c r="D123" s="28"/>
      <c r="E123" s="28"/>
      <c r="F123" s="28"/>
      <c r="G123" s="28"/>
    </row>
    <row r="124" spans="2:7" x14ac:dyDescent="0.3">
      <c r="B124" s="28"/>
      <c r="C124" s="28"/>
      <c r="D124" s="28"/>
      <c r="E124" s="28"/>
      <c r="F124" s="28"/>
      <c r="G124" s="28"/>
    </row>
    <row r="125" spans="2:7" x14ac:dyDescent="0.3">
      <c r="B125" s="28"/>
      <c r="C125" s="28"/>
      <c r="D125" s="28"/>
      <c r="E125" s="28"/>
      <c r="F125" s="28"/>
      <c r="G125" s="28"/>
    </row>
    <row r="126" spans="2:7" x14ac:dyDescent="0.3">
      <c r="B126" s="28"/>
      <c r="C126" s="28"/>
      <c r="D126" s="28"/>
      <c r="E126" s="28"/>
      <c r="F126" s="28"/>
      <c r="G126" s="28"/>
    </row>
    <row r="127" spans="2:7" x14ac:dyDescent="0.3">
      <c r="B127" s="28"/>
      <c r="C127" s="28"/>
      <c r="D127" s="28"/>
      <c r="E127" s="28"/>
      <c r="F127" s="28"/>
      <c r="G127" s="28"/>
    </row>
    <row r="128" spans="2:7" x14ac:dyDescent="0.3">
      <c r="B128" s="28"/>
      <c r="C128" s="28"/>
      <c r="D128" s="28"/>
      <c r="E128" s="28"/>
      <c r="F128" s="28"/>
      <c r="G128" s="28"/>
    </row>
    <row r="129" spans="2:7" x14ac:dyDescent="0.3">
      <c r="B129" s="28"/>
      <c r="C129" s="28"/>
      <c r="D129" s="28"/>
      <c r="E129" s="28"/>
      <c r="F129" s="28"/>
      <c r="G129" s="28"/>
    </row>
  </sheetData>
  <mergeCells count="5">
    <mergeCell ref="B56:B76"/>
    <mergeCell ref="B6:B9"/>
    <mergeCell ref="B10:B31"/>
    <mergeCell ref="B32:B55"/>
    <mergeCell ref="B77:B92"/>
  </mergeCells>
  <conditionalFormatting sqref="K6:K92">
    <cfRule type="cellIs" dxfId="1" priority="1" operator="equal">
      <formula>"✓"</formula>
    </cfRule>
    <cfRule type="cellIs" dxfId="0" priority="2" operator="equal">
      <formula>"☐"</formula>
    </cfRule>
  </conditionalFormatting>
  <dataValidations count="3">
    <dataValidation type="list" allowBlank="1" sqref="H6:H92" xr:uid="{00000000-0002-0000-0200-000000000000}">
      <formula1>"Pass,Fail,Chưa test"</formula1>
    </dataValidation>
    <dataValidation type="decimal" allowBlank="1" showErrorMessage="1" errorTitle="Điểm không hợp lệ" error="Nhập điểm từ 0 đến 10 (có thể chỉnh lại thang điểm nếu lớp dùng thang khác)." sqref="I6:I92" xr:uid="{00000000-0002-0000-0200-000001000000}">
      <formula1>0</formula1>
      <formula2>10</formula2>
    </dataValidation>
    <dataValidation type="list" allowBlank="1" sqref="K6:K92" xr:uid="{00000000-0002-0000-0200-000002000000}">
      <formula1>"✓,☐"</formula1>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Tổng quan</vt:lpstr>
      <vt:lpstr>Bảng công việc chi tiết</vt:lpstr>
      <vt:lpstr>Luồng nghiệp vụ &amp; Giải trình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Van Thong D25TX</cp:lastModifiedBy>
  <cp:revision>0</cp:revision>
  <dcterms:created xsi:type="dcterms:W3CDTF">2026-08-26T07:34:27Z</dcterms:created>
  <dcterms:modified xsi:type="dcterms:W3CDTF">2026-08-26T09:17:52Z</dcterms:modified>
  <dc:language>en-US</dc:language>
</cp:coreProperties>
</file>